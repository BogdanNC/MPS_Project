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1"/>
  <bookViews>
    <workbookView xWindow="132" yWindow="504" windowWidth="22716" windowHeight="11580"/>
  </bookViews>
  <sheets>
    <sheet name="Risk Management Plan" sheetId="1" r:id="rId1"/>
  </sheets>
  <calcPr calcId="144525"/>
  <extLst>
    <ext uri="GoogleSheetsCustomDataVersion2">
      <go:sheetsCustomData xmlns:go="http://customooxmlschemas.google.com/" r:id="" roundtripDataChecksum="aMHC1KTLQFmJ3TAcCRRIHxUC2tF7w7ezGONSFq0CL9Y="/>
    </ext>
  </extLst>
</workbook>
</file>

<file path=xl/calcChain.xml><?xml version="1.0" encoding="utf-8"?>
<calcChain xmlns="http://schemas.openxmlformats.org/spreadsheetml/2006/main">
  <c r="S52" i="1" l="1"/>
  <c r="R52" i="1"/>
  <c r="Q52" i="1"/>
  <c r="P52" i="1"/>
  <c r="O52" i="1"/>
  <c r="N52" i="1"/>
  <c r="S51" i="1"/>
  <c r="R51" i="1"/>
  <c r="P51" i="1"/>
  <c r="O51" i="1"/>
  <c r="N51" i="1"/>
  <c r="S50" i="1"/>
  <c r="R50" i="1"/>
  <c r="P50" i="1"/>
  <c r="O50" i="1"/>
  <c r="N50" i="1"/>
  <c r="S49" i="1"/>
  <c r="R49" i="1"/>
  <c r="Q49" i="1"/>
  <c r="P49" i="1"/>
  <c r="O49" i="1"/>
  <c r="N49" i="1"/>
  <c r="S48" i="1"/>
  <c r="R48" i="1"/>
  <c r="Q48" i="1"/>
  <c r="P48" i="1"/>
  <c r="O48" i="1"/>
  <c r="N48" i="1"/>
  <c r="S44" i="1"/>
  <c r="R44" i="1"/>
  <c r="Q44" i="1"/>
  <c r="P44" i="1"/>
  <c r="O44" i="1"/>
  <c r="N44" i="1"/>
  <c r="S43" i="1"/>
  <c r="R43" i="1"/>
  <c r="Q43" i="1"/>
  <c r="P43" i="1"/>
  <c r="O43" i="1"/>
  <c r="N43" i="1"/>
  <c r="S42" i="1"/>
  <c r="R42" i="1"/>
  <c r="Q42" i="1"/>
  <c r="P42" i="1"/>
  <c r="O42" i="1"/>
  <c r="N42" i="1"/>
  <c r="S41" i="1"/>
  <c r="P41" i="1"/>
  <c r="O41" i="1"/>
  <c r="N41" i="1"/>
  <c r="S40" i="1"/>
  <c r="R40" i="1"/>
  <c r="Q40" i="1"/>
  <c r="P40" i="1"/>
  <c r="O40" i="1"/>
  <c r="N40" i="1"/>
  <c r="S36" i="1"/>
  <c r="R36" i="1"/>
  <c r="Q36" i="1"/>
  <c r="P36" i="1"/>
  <c r="O36" i="1"/>
  <c r="N36" i="1"/>
  <c r="S35" i="1"/>
  <c r="R35" i="1"/>
  <c r="Q35" i="1"/>
  <c r="P35" i="1"/>
  <c r="O35" i="1"/>
  <c r="N35" i="1"/>
  <c r="S34" i="1"/>
  <c r="R34" i="1"/>
  <c r="Q34" i="1"/>
  <c r="P34" i="1"/>
  <c r="O34" i="1"/>
  <c r="N34" i="1"/>
  <c r="S33" i="1"/>
  <c r="Q33" i="1"/>
  <c r="P33" i="1"/>
  <c r="O33" i="1"/>
  <c r="N33" i="1"/>
  <c r="S32" i="1"/>
  <c r="Q32" i="1"/>
  <c r="P32" i="1"/>
  <c r="O32" i="1"/>
  <c r="N32" i="1"/>
  <c r="S28" i="1"/>
  <c r="R28" i="1"/>
  <c r="Q28" i="1"/>
  <c r="P28" i="1"/>
  <c r="O28" i="1"/>
  <c r="N28" i="1"/>
  <c r="S27" i="1"/>
  <c r="R27" i="1"/>
  <c r="Q27" i="1"/>
  <c r="P27" i="1"/>
  <c r="O27" i="1"/>
  <c r="N27" i="1"/>
  <c r="S26" i="1"/>
  <c r="R26" i="1"/>
  <c r="Q26" i="1"/>
  <c r="P26" i="1"/>
  <c r="O26" i="1"/>
  <c r="N26" i="1"/>
  <c r="S25" i="1"/>
  <c r="R25" i="1"/>
  <c r="Q25" i="1"/>
  <c r="P25" i="1"/>
  <c r="O25" i="1"/>
  <c r="N25" i="1"/>
  <c r="V24" i="1"/>
  <c r="S24" i="1"/>
  <c r="R24" i="1"/>
  <c r="Q24" i="1"/>
  <c r="P24" i="1"/>
  <c r="O24" i="1"/>
  <c r="N24" i="1"/>
  <c r="S20" i="1"/>
  <c r="R20" i="1"/>
  <c r="Q20" i="1"/>
  <c r="P20" i="1"/>
  <c r="O20" i="1"/>
  <c r="N20" i="1"/>
  <c r="S19" i="1"/>
  <c r="R19" i="1"/>
  <c r="Q19" i="1"/>
  <c r="P19" i="1"/>
  <c r="O19" i="1"/>
  <c r="N19" i="1"/>
  <c r="S18" i="1"/>
  <c r="R18" i="1"/>
  <c r="Q18" i="1"/>
  <c r="P18" i="1"/>
  <c r="O18" i="1"/>
  <c r="N18" i="1"/>
  <c r="S17" i="1"/>
  <c r="R17" i="1"/>
  <c r="Q17" i="1"/>
  <c r="P17" i="1"/>
  <c r="O17" i="1"/>
  <c r="N17" i="1"/>
  <c r="V16" i="1"/>
  <c r="S16" i="1"/>
  <c r="R16" i="1"/>
  <c r="Q16" i="1"/>
  <c r="P16" i="1"/>
  <c r="O16" i="1"/>
  <c r="N16" i="1"/>
</calcChain>
</file>

<file path=xl/sharedStrings.xml><?xml version="1.0" encoding="utf-8"?>
<sst xmlns="http://schemas.openxmlformats.org/spreadsheetml/2006/main" count="246" uniqueCount="148">
  <si>
    <t>Date</t>
  </si>
  <si>
    <t>Project Mngr</t>
  </si>
  <si>
    <t>Durla Cosmin</t>
  </si>
  <si>
    <t>Name</t>
  </si>
  <si>
    <t>Home Control</t>
  </si>
  <si>
    <t>None</t>
  </si>
  <si>
    <t>Priority</t>
  </si>
  <si>
    <t>PROJECT RISK MANAGEMENT PLAN</t>
  </si>
  <si>
    <r>
      <rPr>
        <b/>
        <sz val="10"/>
        <color theme="1"/>
        <rFont val="Arial"/>
      </rPr>
      <t>WBS 100</t>
    </r>
    <r>
      <rPr>
        <sz val="10"/>
        <color theme="1"/>
        <rFont val="Arial"/>
      </rPr>
      <t xml:space="preserve"> Project Management</t>
    </r>
  </si>
  <si>
    <t>Identification</t>
  </si>
  <si>
    <t>Qualitative Analysis</t>
  </si>
  <si>
    <t xml:space="preserve">    Quantitative Analysis</t>
  </si>
  <si>
    <t>Response Strategy</t>
  </si>
  <si>
    <t>Monitoring and Control</t>
  </si>
  <si>
    <r>
      <rPr>
        <b/>
        <sz val="10"/>
        <color theme="1"/>
        <rFont val="Arial"/>
      </rPr>
      <t>WBS 150</t>
    </r>
    <r>
      <rPr>
        <sz val="10"/>
        <color theme="1"/>
        <rFont val="Arial"/>
      </rPr>
      <t xml:space="preserve"> Develop Project Initiation Document (PID)</t>
    </r>
  </si>
  <si>
    <t>Status</t>
  </si>
  <si>
    <t>ID #</t>
  </si>
  <si>
    <t>Date Identified         Project Phase</t>
  </si>
  <si>
    <t>Functional Assignment</t>
  </si>
  <si>
    <t>Threat</t>
  </si>
  <si>
    <t>Risk Trigger (Event) Description</t>
  </si>
  <si>
    <t>Type</t>
  </si>
  <si>
    <t>Probability</t>
  </si>
  <si>
    <t>Impact</t>
  </si>
  <si>
    <t>Risk Matrix</t>
  </si>
  <si>
    <t>Probability (%)</t>
  </si>
  <si>
    <t>Impact     ($ or days)</t>
  </si>
  <si>
    <t>Effect         ($ or days)</t>
  </si>
  <si>
    <t>Strategy</t>
  </si>
  <si>
    <t>Response Actions including advantages and disadvantages</t>
  </si>
  <si>
    <t>Affected WBS Tasks</t>
  </si>
  <si>
    <t>Responsibilty (Task Manager)</t>
  </si>
  <si>
    <t>Status Interval or Milestone Check</t>
  </si>
  <si>
    <t>Date, Status and Review Comments</t>
  </si>
  <si>
    <r>
      <rPr>
        <b/>
        <sz val="10"/>
        <color theme="1"/>
        <rFont val="Arial"/>
      </rPr>
      <t>WBS 160</t>
    </r>
    <r>
      <rPr>
        <sz val="10"/>
        <color theme="1"/>
        <rFont val="Arial"/>
      </rPr>
      <t xml:space="preserve"> Perform Preliminary Engineering Studies and Prepare Draft Project Report</t>
    </r>
  </si>
  <si>
    <t>Active</t>
  </si>
  <si>
    <t>PID</t>
  </si>
  <si>
    <t>Scope</t>
  </si>
  <si>
    <t>Very High</t>
  </si>
  <si>
    <t>Avoidance</t>
  </si>
  <si>
    <r>
      <rPr>
        <b/>
        <sz val="10"/>
        <color theme="1"/>
        <rFont val="Arial"/>
      </rPr>
      <t>WBS 165</t>
    </r>
    <r>
      <rPr>
        <sz val="10"/>
        <color theme="1"/>
        <rFont val="Arial"/>
      </rPr>
      <t xml:space="preserve"> Perform Environmental Studies and Prepare Draft Environmental Document (DED)</t>
    </r>
  </si>
  <si>
    <t>Dormant</t>
  </si>
  <si>
    <t>PA&amp;ED</t>
  </si>
  <si>
    <t>Schedule</t>
  </si>
  <si>
    <t>High</t>
  </si>
  <si>
    <t>Transference</t>
  </si>
  <si>
    <r>
      <rPr>
        <b/>
        <sz val="10"/>
        <color theme="1"/>
        <rFont val="Arial"/>
      </rPr>
      <t>WBS 175</t>
    </r>
    <r>
      <rPr>
        <sz val="10"/>
        <color theme="1"/>
        <rFont val="Arial"/>
      </rPr>
      <t xml:space="preserve"> Circulate Draft Environmental Document and Select Preferred Project Alternative</t>
    </r>
  </si>
  <si>
    <t>Retired</t>
  </si>
  <si>
    <t>PS&amp;E</t>
  </si>
  <si>
    <t>Cost</t>
  </si>
  <si>
    <t>Moderate</t>
  </si>
  <si>
    <t>Mitigation</t>
  </si>
  <si>
    <r>
      <rPr>
        <b/>
        <sz val="10"/>
        <color theme="1"/>
        <rFont val="Arial"/>
      </rPr>
      <t>WBS 180</t>
    </r>
    <r>
      <rPr>
        <sz val="10"/>
        <color theme="1"/>
        <rFont val="Arial"/>
      </rPr>
      <t xml:space="preserve"> Prepare and Approve Project Report and Final Environmental Document</t>
    </r>
  </si>
  <si>
    <t>Construction</t>
  </si>
  <si>
    <t>Quality</t>
  </si>
  <si>
    <t>Low</t>
  </si>
  <si>
    <t>Acceptance</t>
  </si>
  <si>
    <r>
      <rPr>
        <b/>
        <sz val="10"/>
        <color theme="1"/>
        <rFont val="Arial"/>
      </rPr>
      <t>WBS 185</t>
    </r>
    <r>
      <rPr>
        <sz val="10"/>
        <color theme="1"/>
        <rFont val="Arial"/>
      </rPr>
      <t xml:space="preserve"> Prepare Base Maps and Plan Sheets</t>
    </r>
  </si>
  <si>
    <t>Very Low</t>
  </si>
  <si>
    <t>N/A</t>
  </si>
  <si>
    <r>
      <rPr>
        <b/>
        <sz val="10"/>
        <color theme="1"/>
        <rFont val="Arial"/>
      </rPr>
      <t>WBS 190</t>
    </r>
    <r>
      <rPr>
        <sz val="10"/>
        <color theme="1"/>
        <rFont val="Arial"/>
      </rPr>
      <t xml:space="preserve"> Prepare Structure Site Plans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</si>
  <si>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</si>
  <si>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</si>
  <si>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</si>
  <si>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</si>
  <si>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</si>
  <si>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</si>
  <si>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</si>
  <si>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</si>
  <si>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</si>
  <si>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</si>
  <si>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</si>
  <si>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</si>
  <si>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</si>
  <si>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 =(13)x(12)</t>
  </si>
  <si>
    <t>(15)</t>
  </si>
  <si>
    <t>(16)</t>
  </si>
  <si>
    <t>(17)</t>
  </si>
  <si>
    <t>(18)</t>
  </si>
  <si>
    <t>(19)</t>
  </si>
  <si>
    <t>(20)</t>
  </si>
  <si>
    <r>
      <rPr>
        <b/>
        <sz val="10"/>
        <color theme="1"/>
        <rFont val="Arial"/>
      </rPr>
      <t>WBS 195</t>
    </r>
    <r>
      <rPr>
        <sz val="10"/>
        <color theme="1"/>
        <rFont val="Arial"/>
      </rPr>
      <t xml:space="preserve"> Right of Way Property Management and Excess Land</t>
    </r>
  </si>
  <si>
    <t>F1R1</t>
  </si>
  <si>
    <t>Research</t>
  </si>
  <si>
    <t>Team scheduling</t>
  </si>
  <si>
    <t>Difficulties in finding a good time for meetings</t>
  </si>
  <si>
    <t>scope</t>
  </si>
  <si>
    <t>VH</t>
  </si>
  <si>
    <t>Establishing set weekly meetings</t>
  </si>
  <si>
    <t>Whole team</t>
  </si>
  <si>
    <r>
      <rPr>
        <b/>
        <sz val="10"/>
        <color theme="1"/>
        <rFont val="Arial"/>
      </rPr>
      <t>WBS 230</t>
    </r>
    <r>
      <rPr>
        <sz val="10"/>
        <color theme="1"/>
        <rFont val="Arial"/>
      </rPr>
      <t xml:space="preserve"> Prepare Draft PS&amp;E</t>
    </r>
  </si>
  <si>
    <t>H</t>
  </si>
  <si>
    <t>M</t>
  </si>
  <si>
    <t>L</t>
  </si>
  <si>
    <r>
      <rPr>
        <b/>
        <sz val="10"/>
        <color theme="1"/>
        <rFont val="Arial"/>
      </rPr>
      <t xml:space="preserve">WBS 235 </t>
    </r>
    <r>
      <rPr>
        <sz val="10"/>
        <color theme="1"/>
        <rFont val="Arial"/>
      </rPr>
      <t>Mitigate Environmental Impacts and Clean-up Hazardous Waste</t>
    </r>
  </si>
  <si>
    <t>VL</t>
  </si>
  <si>
    <r>
      <rPr>
        <b/>
        <sz val="10"/>
        <color theme="1"/>
        <rFont val="Arial"/>
      </rPr>
      <t>WBS 240</t>
    </r>
    <r>
      <rPr>
        <sz val="10"/>
        <color theme="1"/>
        <rFont val="Arial"/>
      </rPr>
      <t xml:space="preserve"> Prepare Draft Structures PS&amp;E</t>
    </r>
  </si>
  <si>
    <r>
      <rPr>
        <b/>
        <sz val="10"/>
        <color theme="1"/>
        <rFont val="Arial"/>
      </rPr>
      <t>WBS 245</t>
    </r>
    <r>
      <rPr>
        <sz val="10"/>
        <color theme="1"/>
        <rFont val="Arial"/>
      </rPr>
      <t xml:space="preserve"> Post Right of Way Certification Work</t>
    </r>
  </si>
  <si>
    <r>
      <rPr>
        <b/>
        <sz val="10"/>
        <color theme="1"/>
        <rFont val="Arial"/>
      </rPr>
      <t xml:space="preserve">WBS 250 </t>
    </r>
    <r>
      <rPr>
        <sz val="10"/>
        <color theme="1"/>
        <rFont val="Arial"/>
      </rPr>
      <t>Prepare Final Structures PS&amp;E Package</t>
    </r>
  </si>
  <si>
    <r>
      <rPr>
        <b/>
        <sz val="10"/>
        <color theme="1"/>
        <rFont val="Arial"/>
      </rPr>
      <t>WBS 255</t>
    </r>
    <r>
      <rPr>
        <sz val="10"/>
        <color theme="1"/>
        <rFont val="Arial"/>
      </rPr>
      <t xml:space="preserve"> Circulate, Review, and Prepare Final District PS&amp;E Package</t>
    </r>
  </si>
  <si>
    <t>F1R2</t>
  </si>
  <si>
    <t>Development</t>
  </si>
  <si>
    <t>Coding</t>
  </si>
  <si>
    <t>Complexitatea algoritmilor de binarizare</t>
  </si>
  <si>
    <t>Cercetare in-depth al domeniului algoritmilor de binarizare</t>
  </si>
  <si>
    <t>Programmers</t>
  </si>
  <si>
    <r>
      <rPr>
        <b/>
        <sz val="10"/>
        <color theme="1"/>
        <rFont val="Arial"/>
      </rPr>
      <t>WBS 230</t>
    </r>
    <r>
      <rPr>
        <sz val="10"/>
        <color theme="1"/>
        <rFont val="Arial"/>
      </rPr>
      <t xml:space="preserve"> Prepare Draft PS&amp;E</t>
    </r>
  </si>
  <si>
    <r>
      <rPr>
        <b/>
        <sz val="10"/>
        <color theme="1"/>
        <rFont val="Arial"/>
      </rPr>
      <t xml:space="preserve">WBS 235 </t>
    </r>
    <r>
      <rPr>
        <sz val="10"/>
        <color theme="1"/>
        <rFont val="Arial"/>
      </rPr>
      <t>Mitigate Environmental Impacts and Clean-up Hazardous Waste</t>
    </r>
  </si>
  <si>
    <r>
      <rPr>
        <b/>
        <sz val="10"/>
        <color theme="1"/>
        <rFont val="Arial"/>
      </rPr>
      <t>WBS 240</t>
    </r>
    <r>
      <rPr>
        <sz val="10"/>
        <color theme="1"/>
        <rFont val="Arial"/>
      </rPr>
      <t xml:space="preserve"> Prepare Draft Structures PS&amp;E</t>
    </r>
  </si>
  <si>
    <r>
      <rPr>
        <b/>
        <sz val="10"/>
        <color theme="1"/>
        <rFont val="Arial"/>
      </rPr>
      <t>WBS 245</t>
    </r>
    <r>
      <rPr>
        <sz val="10"/>
        <color theme="1"/>
        <rFont val="Arial"/>
      </rPr>
      <t xml:space="preserve"> Post Right of Way Certification Work</t>
    </r>
  </si>
  <si>
    <r>
      <rPr>
        <b/>
        <sz val="10"/>
        <color theme="1"/>
        <rFont val="Arial"/>
      </rPr>
      <t xml:space="preserve">WBS 250 </t>
    </r>
    <r>
      <rPr>
        <sz val="10"/>
        <color theme="1"/>
        <rFont val="Arial"/>
      </rPr>
      <t>Prepare Final Structures PS&amp;E Package</t>
    </r>
  </si>
  <si>
    <t>(</t>
  </si>
  <si>
    <r>
      <rPr>
        <b/>
        <sz val="10"/>
        <color theme="1"/>
        <rFont val="Arial"/>
      </rPr>
      <t>WBS 255</t>
    </r>
    <r>
      <rPr>
        <sz val="10"/>
        <color theme="1"/>
        <rFont val="Arial"/>
      </rPr>
      <t xml:space="preserve"> Circulate, Review, and Prepare Final District PS&amp;E Package</t>
    </r>
  </si>
  <si>
    <t>F2R1</t>
  </si>
  <si>
    <t>Design</t>
  </si>
  <si>
    <t>Optimizarea performanței algoritmului final</t>
  </si>
  <si>
    <t>X</t>
  </si>
  <si>
    <t>…</t>
  </si>
  <si>
    <r>
      <rPr>
        <b/>
        <sz val="10"/>
        <color theme="1"/>
        <rFont val="Arial"/>
      </rPr>
      <t>WBS 230</t>
    </r>
    <r>
      <rPr>
        <sz val="10"/>
        <color theme="1"/>
        <rFont val="Arial"/>
      </rPr>
      <t xml:space="preserve"> Prepare Draft PS&amp;E</t>
    </r>
  </si>
  <si>
    <r>
      <rPr>
        <b/>
        <sz val="10"/>
        <color theme="1"/>
        <rFont val="Arial"/>
      </rPr>
      <t xml:space="preserve">WBS 235 </t>
    </r>
    <r>
      <rPr>
        <sz val="10"/>
        <color theme="1"/>
        <rFont val="Arial"/>
      </rPr>
      <t>Mitigate Environmental Impacts and Clean-up Hazardous Waste</t>
    </r>
  </si>
  <si>
    <r>
      <rPr>
        <b/>
        <sz val="10"/>
        <color theme="1"/>
        <rFont val="Arial"/>
      </rPr>
      <t>WBS 240</t>
    </r>
    <r>
      <rPr>
        <sz val="10"/>
        <color theme="1"/>
        <rFont val="Arial"/>
      </rPr>
      <t xml:space="preserve"> Prepare Draft Structures PS&amp;E</t>
    </r>
  </si>
  <si>
    <r>
      <rPr>
        <b/>
        <sz val="10"/>
        <color theme="1"/>
        <rFont val="Arial"/>
      </rPr>
      <t>WBS 245</t>
    </r>
    <r>
      <rPr>
        <sz val="10"/>
        <color theme="1"/>
        <rFont val="Arial"/>
      </rPr>
      <t xml:space="preserve"> Post Right of Way Certification Work</t>
    </r>
  </si>
  <si>
    <r>
      <rPr>
        <b/>
        <sz val="10"/>
        <color theme="1"/>
        <rFont val="Arial"/>
      </rPr>
      <t xml:space="preserve">WBS 250 </t>
    </r>
    <r>
      <rPr>
        <sz val="10"/>
        <color theme="1"/>
        <rFont val="Arial"/>
      </rPr>
      <t>Prepare Final Structures PS&amp;E Package</t>
    </r>
  </si>
  <si>
    <r>
      <rPr>
        <b/>
        <sz val="10"/>
        <color theme="1"/>
        <rFont val="Arial"/>
      </rPr>
      <t>WBS 255</t>
    </r>
    <r>
      <rPr>
        <sz val="10"/>
        <color theme="1"/>
        <rFont val="Arial"/>
      </rPr>
      <t xml:space="preserve"> Circulate, Review, and Prepare Final District PS&amp;E Package</t>
    </r>
  </si>
  <si>
    <t>F2R2</t>
  </si>
  <si>
    <t>---</t>
  </si>
  <si>
    <r>
      <rPr>
        <b/>
        <sz val="10"/>
        <color theme="1"/>
        <rFont val="Arial"/>
      </rPr>
      <t>WBS 230</t>
    </r>
    <r>
      <rPr>
        <sz val="10"/>
        <color theme="1"/>
        <rFont val="Arial"/>
      </rPr>
      <t xml:space="preserve"> Prepare Draft PS&amp;E</t>
    </r>
  </si>
  <si>
    <r>
      <rPr>
        <b/>
        <sz val="10"/>
        <color theme="1"/>
        <rFont val="Arial"/>
      </rPr>
      <t xml:space="preserve">WBS 235 </t>
    </r>
    <r>
      <rPr>
        <sz val="10"/>
        <color theme="1"/>
        <rFont val="Arial"/>
      </rPr>
      <t>Mitigate Environmental Impacts and Clean-up Hazardous Waste</t>
    </r>
  </si>
  <si>
    <r>
      <rPr>
        <b/>
        <sz val="10"/>
        <color theme="1"/>
        <rFont val="Arial"/>
      </rPr>
      <t>WBS 240</t>
    </r>
    <r>
      <rPr>
        <sz val="10"/>
        <color theme="1"/>
        <rFont val="Arial"/>
      </rPr>
      <t xml:space="preserve"> Prepare Draft Structures PS&amp;E</t>
    </r>
  </si>
  <si>
    <r>
      <rPr>
        <b/>
        <sz val="10"/>
        <color theme="1"/>
        <rFont val="Arial"/>
      </rPr>
      <t>WBS 245</t>
    </r>
    <r>
      <rPr>
        <sz val="10"/>
        <color theme="1"/>
        <rFont val="Arial"/>
      </rPr>
      <t xml:space="preserve"> Post Right of Way Certification Work</t>
    </r>
  </si>
  <si>
    <r>
      <rPr>
        <b/>
        <sz val="10"/>
        <color theme="1"/>
        <rFont val="Arial"/>
      </rPr>
      <t xml:space="preserve">WBS 250 </t>
    </r>
    <r>
      <rPr>
        <sz val="10"/>
        <color theme="1"/>
        <rFont val="Arial"/>
      </rPr>
      <t>Prepare Final Structures PS&amp;E Package</t>
    </r>
  </si>
  <si>
    <r>
      <rPr>
        <b/>
        <sz val="10"/>
        <color theme="1"/>
        <rFont val="Arial"/>
      </rPr>
      <t>WBS 255</t>
    </r>
    <r>
      <rPr>
        <sz val="10"/>
        <color theme="1"/>
        <rFont val="Arial"/>
      </rPr>
      <t xml:space="preserve"> Circulate, Review, and Prepare Final District PS&amp;E Package</t>
    </r>
  </si>
  <si>
    <t>F3R1</t>
  </si>
  <si>
    <t>Product management</t>
  </si>
  <si>
    <r>
      <rPr>
        <b/>
        <sz val="10"/>
        <color theme="1"/>
        <rFont val="Arial"/>
      </rPr>
      <t>WBS 230</t>
    </r>
    <r>
      <rPr>
        <sz val="10"/>
        <color theme="1"/>
        <rFont val="Arial"/>
      </rPr>
      <t xml:space="preserve"> Prepare Draft PS&amp;E</t>
    </r>
  </si>
  <si>
    <t>Product Management</t>
  </si>
  <si>
    <r>
      <rPr>
        <b/>
        <sz val="10"/>
        <color theme="1"/>
        <rFont val="Arial"/>
      </rPr>
      <t xml:space="preserve">WBS 235 </t>
    </r>
    <r>
      <rPr>
        <sz val="10"/>
        <color theme="1"/>
        <rFont val="Arial"/>
      </rPr>
      <t>Mitigate Environmental Impacts and Clean-up Hazardous Waste</t>
    </r>
  </si>
  <si>
    <r>
      <rPr>
        <b/>
        <sz val="10"/>
        <color theme="1"/>
        <rFont val="Arial"/>
      </rPr>
      <t>WBS 240</t>
    </r>
    <r>
      <rPr>
        <sz val="10"/>
        <color theme="1"/>
        <rFont val="Arial"/>
      </rPr>
      <t xml:space="preserve"> Prepare Draft Structures PS&amp;E</t>
    </r>
  </si>
  <si>
    <r>
      <rPr>
        <b/>
        <sz val="10"/>
        <color theme="1"/>
        <rFont val="Arial"/>
      </rPr>
      <t>WBS 245</t>
    </r>
    <r>
      <rPr>
        <sz val="10"/>
        <color theme="1"/>
        <rFont val="Arial"/>
      </rPr>
      <t xml:space="preserve"> Post Right of Way Certification Work</t>
    </r>
  </si>
  <si>
    <r>
      <rPr>
        <b/>
        <sz val="10"/>
        <color theme="1"/>
        <rFont val="Arial"/>
      </rPr>
      <t xml:space="preserve">WBS 250 </t>
    </r>
    <r>
      <rPr>
        <sz val="10"/>
        <color theme="1"/>
        <rFont val="Arial"/>
      </rPr>
      <t>Prepare Final Structures PS&amp;E Package</t>
    </r>
  </si>
  <si>
    <r>
      <rPr>
        <b/>
        <sz val="10"/>
        <color theme="1"/>
        <rFont val="Arial"/>
      </rPr>
      <t>WBS 255</t>
    </r>
    <r>
      <rPr>
        <sz val="10"/>
        <color theme="1"/>
        <rFont val="Arial"/>
      </rPr>
      <t xml:space="preserve"> Circulate, Review, and Prepare Final District PS&amp;E Package</t>
    </r>
  </si>
  <si>
    <t>Testing</t>
  </si>
  <si>
    <t>Poor Testing</t>
  </si>
  <si>
    <t>a week</t>
  </si>
  <si>
    <t>3 days</t>
  </si>
  <si>
    <t>Testers</t>
  </si>
  <si>
    <t>Not covering all edge cases</t>
  </si>
  <si>
    <t>5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</si>
</sst>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yy"/>
    <numFmt numFmtId="165" formatCode="00000"/>
  </numFmts>
  <fonts count="9" x14ac:knownFonts="1">
    <font>
      <sz val="10"/>
      <color rgb="FF000000"/>
      <name val="Arial"/>
      <scheme val="minor"/>
    </font>
    <font>
      <sz val="10"/>
      <color theme="1"/>
      <name val="Arial"/>
    </font>
    <font>
      <b/>
      <sz val="12"/>
      <color theme="1"/>
      <name val="Arial"/>
    </font>
    <font>
      <sz val="12"/>
      <color theme="1"/>
      <name val="Arial"/>
    </font>
    <font>
      <b/>
      <sz val="10"/>
      <color theme="1"/>
      <name val="Arial"/>
    </font>
    <font>
      <b/>
      <sz val="18"/>
      <color theme="1"/>
      <name val="Arial"/>
    </font>
    <font>
      <sz val="10"/>
      <name val="Arial"/>
    </font>
    <font>
      <b/>
      <sz val="12"/>
      <color rgb="FF000000"/>
      <name val="Arial"/>
    </font>
    <font>
      <sz val="10"/>
      <color rgb="FF969696"/>
      <name val="Arial"/>
    </font>
  </fonts>
  <fills count="6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969696"/>
        <bgColor rgb="FF969696"/>
      </patternFill>
    </fill>
  </fills>
  <borders count="6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 applyAlignment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4" fillId="0" borderId="13" xfId="0" applyFont="1" applyBorder="1" applyAlignment="1">
      <alignment horizontal="center" wrapText="1"/>
    </xf>
    <xf numFmtId="0" fontId="4" fillId="0" borderId="14" xfId="0" applyFont="1" applyBorder="1" applyAlignment="1">
      <alignment wrapText="1"/>
    </xf>
    <xf numFmtId="0" fontId="4" fillId="0" borderId="14" xfId="0" applyFont="1" applyBorder="1" applyAlignment="1">
      <alignment horizontal="center" wrapText="1"/>
    </xf>
    <xf numFmtId="0" fontId="4" fillId="0" borderId="15" xfId="0" applyFont="1" applyBorder="1" applyAlignment="1">
      <alignment horizontal="center" wrapText="1"/>
    </xf>
    <xf numFmtId="0" fontId="4" fillId="0" borderId="16" xfId="0" applyFont="1" applyBorder="1" applyAlignment="1">
      <alignment horizontal="center" wrapText="1"/>
    </xf>
    <xf numFmtId="0" fontId="4" fillId="0" borderId="17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4" fillId="0" borderId="20" xfId="0" applyFont="1" applyBorder="1" applyAlignment="1">
      <alignment horizontal="center" wrapText="1"/>
    </xf>
    <xf numFmtId="0" fontId="4" fillId="0" borderId="13" xfId="0" applyFont="1" applyBorder="1" applyAlignment="1">
      <alignment wrapText="1"/>
    </xf>
    <xf numFmtId="0" fontId="4" fillId="0" borderId="21" xfId="0" applyFont="1" applyBorder="1" applyAlignment="1">
      <alignment wrapText="1"/>
    </xf>
    <xf numFmtId="0" fontId="4" fillId="0" borderId="15" xfId="0" applyFont="1" applyBorder="1" applyAlignment="1">
      <alignment wrapText="1"/>
    </xf>
    <xf numFmtId="0" fontId="4" fillId="0" borderId="18" xfId="0" applyFont="1" applyBorder="1" applyAlignment="1">
      <alignment wrapText="1"/>
    </xf>
    <xf numFmtId="0" fontId="4" fillId="0" borderId="22" xfId="0" applyFont="1" applyBorder="1" applyAlignment="1">
      <alignment wrapText="1"/>
    </xf>
    <xf numFmtId="0" fontId="1" fillId="0" borderId="23" xfId="0" applyFont="1" applyBorder="1" applyAlignment="1"/>
    <xf numFmtId="0" fontId="1" fillId="0" borderId="24" xfId="0" applyFont="1" applyBorder="1" applyAlignment="1">
      <alignment horizontal="center"/>
    </xf>
    <xf numFmtId="0" fontId="1" fillId="0" borderId="24" xfId="0" applyFont="1" applyBorder="1" applyAlignment="1"/>
    <xf numFmtId="0" fontId="1" fillId="0" borderId="25" xfId="0" applyFont="1" applyBorder="1" applyAlignment="1"/>
    <xf numFmtId="0" fontId="1" fillId="0" borderId="26" xfId="0" applyFont="1" applyBorder="1" applyAlignment="1"/>
    <xf numFmtId="0" fontId="1" fillId="0" borderId="27" xfId="0" applyFont="1" applyBorder="1" applyAlignment="1"/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4" fillId="0" borderId="24" xfId="0" applyFont="1" applyBorder="1" applyAlignment="1">
      <alignment horizontal="left" textRotation="90"/>
    </xf>
    <xf numFmtId="0" fontId="4" fillId="0" borderId="0" xfId="0" applyFont="1" applyAlignment="1">
      <alignment horizontal="center"/>
    </xf>
    <xf numFmtId="0" fontId="4" fillId="2" borderId="39" xfId="0" applyFont="1" applyFill="1" applyBorder="1" applyAlignment="1">
      <alignment horizontal="center" vertical="center"/>
    </xf>
    <xf numFmtId="0" fontId="4" fillId="3" borderId="40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/>
    </xf>
    <xf numFmtId="164" fontId="1" fillId="0" borderId="26" xfId="0" applyNumberFormat="1" applyFont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/>
    </xf>
    <xf numFmtId="0" fontId="4" fillId="2" borderId="45" xfId="0" applyFont="1" applyFill="1" applyBorder="1" applyAlignment="1">
      <alignment horizontal="center" vertical="center"/>
    </xf>
    <xf numFmtId="0" fontId="4" fillId="2" borderId="46" xfId="0" applyFont="1" applyFill="1" applyBorder="1" applyAlignment="1">
      <alignment horizontal="center" vertical="center"/>
    </xf>
    <xf numFmtId="0" fontId="4" fillId="3" borderId="46" xfId="0" applyFont="1" applyFill="1" applyBorder="1" applyAlignment="1">
      <alignment horizontal="center" vertical="center"/>
    </xf>
    <xf numFmtId="0" fontId="4" fillId="4" borderId="47" xfId="0" applyFont="1" applyFill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5" borderId="53" xfId="0" applyFont="1" applyFill="1" applyBorder="1" applyAlignment="1"/>
    <xf numFmtId="0" fontId="1" fillId="5" borderId="5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5" borderId="55" xfId="0" applyFont="1" applyFill="1" applyBorder="1" applyAlignment="1"/>
    <xf numFmtId="0" fontId="1" fillId="5" borderId="56" xfId="0" applyFont="1" applyFill="1" applyBorder="1" applyAlignment="1"/>
    <xf numFmtId="0" fontId="4" fillId="5" borderId="54" xfId="0" applyFont="1" applyFill="1" applyBorder="1" applyAlignment="1">
      <alignment horizontal="center" vertical="center"/>
    </xf>
    <xf numFmtId="0" fontId="1" fillId="5" borderId="55" xfId="0" applyFont="1" applyFill="1" applyBorder="1" applyAlignment="1">
      <alignment horizontal="center" vertical="center"/>
    </xf>
    <xf numFmtId="0" fontId="1" fillId="5" borderId="57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1" fillId="5" borderId="58" xfId="0" applyFont="1" applyFill="1" applyBorder="1" applyAlignment="1">
      <alignment horizontal="center"/>
    </xf>
    <xf numFmtId="0" fontId="1" fillId="5" borderId="59" xfId="0" applyFont="1" applyFill="1" applyBorder="1" applyAlignment="1">
      <alignment horizontal="center"/>
    </xf>
    <xf numFmtId="9" fontId="8" fillId="5" borderId="57" xfId="0" applyNumberFormat="1" applyFont="1" applyFill="1" applyBorder="1" applyAlignment="1">
      <alignment horizontal="center" vertical="center"/>
    </xf>
    <xf numFmtId="1" fontId="8" fillId="5" borderId="58" xfId="0" applyNumberFormat="1" applyFont="1" applyFill="1" applyBorder="1" applyAlignment="1">
      <alignment horizontal="center" vertical="center"/>
    </xf>
    <xf numFmtId="0" fontId="1" fillId="5" borderId="60" xfId="0" applyFont="1" applyFill="1" applyBorder="1" applyAlignment="1">
      <alignment horizontal="center" vertical="center"/>
    </xf>
    <xf numFmtId="0" fontId="1" fillId="5" borderId="55" xfId="0" applyFont="1" applyFill="1" applyBorder="1" applyAlignment="1">
      <alignment vertical="center" wrapText="1"/>
    </xf>
    <xf numFmtId="0" fontId="1" fillId="5" borderId="57" xfId="0" applyFont="1" applyFill="1" applyBorder="1" applyAlignment="1">
      <alignment vertical="center"/>
    </xf>
    <xf numFmtId="0" fontId="1" fillId="5" borderId="59" xfId="0" applyFont="1" applyFill="1" applyBorder="1" applyAlignment="1">
      <alignment vertical="center"/>
    </xf>
    <xf numFmtId="0" fontId="1" fillId="5" borderId="55" xfId="0" applyFont="1" applyFill="1" applyBorder="1" applyAlignment="1">
      <alignment vertical="center"/>
    </xf>
    <xf numFmtId="0" fontId="1" fillId="5" borderId="61" xfId="0" applyFont="1" applyFill="1" applyBorder="1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5" xfId="0" applyFont="1" applyBorder="1"/>
    <xf numFmtId="0" fontId="6" fillId="0" borderId="48" xfId="0" applyFont="1" applyBorder="1"/>
    <xf numFmtId="0" fontId="1" fillId="0" borderId="33" xfId="0" applyFont="1" applyBorder="1" applyAlignment="1">
      <alignment horizontal="center" vertical="center"/>
    </xf>
    <xf numFmtId="0" fontId="6" fillId="0" borderId="33" xfId="0" applyFont="1" applyBorder="1"/>
    <xf numFmtId="0" fontId="6" fillId="0" borderId="49" xfId="0" applyFont="1" applyBorder="1"/>
    <xf numFmtId="0" fontId="1" fillId="0" borderId="34" xfId="0" applyFont="1" applyBorder="1" applyAlignment="1">
      <alignment horizontal="center" vertical="center"/>
    </xf>
    <xf numFmtId="0" fontId="6" fillId="0" borderId="26" xfId="0" applyFont="1" applyBorder="1"/>
    <xf numFmtId="0" fontId="1" fillId="0" borderId="35" xfId="0" applyFont="1" applyBorder="1" applyAlignment="1">
      <alignment horizontal="left" vertical="center" wrapText="1"/>
    </xf>
    <xf numFmtId="0" fontId="6" fillId="0" borderId="50" xfId="0" applyFont="1" applyBorder="1"/>
    <xf numFmtId="0" fontId="1" fillId="0" borderId="36" xfId="0" applyFont="1" applyBorder="1" applyAlignment="1">
      <alignment horizontal="center" vertical="center" wrapText="1"/>
    </xf>
    <xf numFmtId="0" fontId="6" fillId="0" borderId="27" xfId="0" applyFont="1" applyBorder="1"/>
    <xf numFmtId="0" fontId="6" fillId="0" borderId="51" xfId="0" applyFont="1" applyBorder="1"/>
    <xf numFmtId="0" fontId="1" fillId="0" borderId="43" xfId="0" applyFont="1" applyBorder="1" applyAlignment="1">
      <alignment horizontal="center" vertical="center"/>
    </xf>
    <xf numFmtId="0" fontId="6" fillId="0" borderId="25" xfId="0" applyFont="1" applyBorder="1"/>
    <xf numFmtId="0" fontId="6" fillId="0" borderId="6" xfId="0" applyFont="1" applyBorder="1"/>
    <xf numFmtId="0" fontId="1" fillId="0" borderId="44" xfId="0" applyFont="1" applyBorder="1" applyAlignment="1">
      <alignment horizontal="center" vertical="center"/>
    </xf>
    <xf numFmtId="0" fontId="6" fillId="0" borderId="23" xfId="0" applyFont="1" applyBorder="1"/>
    <xf numFmtId="0" fontId="6" fillId="0" borderId="8" xfId="0" applyFont="1" applyBorder="1"/>
    <xf numFmtId="0" fontId="1" fillId="0" borderId="38" xfId="0" applyFont="1" applyBorder="1" applyAlignment="1">
      <alignment horizontal="center" vertical="center"/>
    </xf>
    <xf numFmtId="0" fontId="6" fillId="0" borderId="24" xfId="0" applyFont="1" applyBorder="1"/>
    <xf numFmtId="0" fontId="6" fillId="0" borderId="52" xfId="0" applyFont="1" applyBorder="1"/>
    <xf numFmtId="0" fontId="4" fillId="0" borderId="24" xfId="0" applyFont="1" applyBorder="1" applyAlignment="1">
      <alignment horizontal="left" textRotation="90"/>
    </xf>
    <xf numFmtId="9" fontId="1" fillId="0" borderId="41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1" fontId="1" fillId="0" borderId="62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0" borderId="7" xfId="0" applyFont="1" applyBorder="1"/>
    <xf numFmtId="164" fontId="1" fillId="0" borderId="3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4" fontId="1" fillId="0" borderId="34" xfId="0" applyNumberFormat="1" applyFont="1" applyBorder="1" applyAlignment="1">
      <alignment horizontal="center" vertical="center"/>
    </xf>
    <xf numFmtId="0" fontId="1" fillId="0" borderId="34" xfId="0" applyFont="1" applyBorder="1" applyAlignment="1">
      <alignment horizontal="left" vertical="center" wrapText="1"/>
    </xf>
    <xf numFmtId="0" fontId="1" fillId="0" borderId="36" xfId="0" applyFont="1" applyBorder="1" applyAlignment="1">
      <alignment vertical="center" wrapText="1"/>
    </xf>
    <xf numFmtId="0" fontId="4" fillId="0" borderId="3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6" fillId="0" borderId="3" xfId="0" applyFont="1" applyBorder="1"/>
    <xf numFmtId="0" fontId="2" fillId="0" borderId="9" xfId="0" applyFont="1" applyBorder="1" applyAlignment="1">
      <alignment horizontal="center"/>
    </xf>
    <xf numFmtId="0" fontId="6" fillId="0" borderId="10" xfId="0" applyFont="1" applyBorder="1"/>
    <xf numFmtId="0" fontId="6" fillId="0" borderId="11" xfId="0" applyFont="1" applyBorder="1"/>
    <xf numFmtId="0" fontId="4" fillId="0" borderId="18" xfId="0" applyFont="1" applyBorder="1" applyAlignment="1">
      <alignment horizontal="center" wrapText="1"/>
    </xf>
    <xf numFmtId="0" fontId="6" fillId="0" borderId="19" xfId="0" applyFont="1" applyBorder="1"/>
    <xf numFmtId="0" fontId="6" fillId="0" borderId="16" xfId="0" applyFont="1" applyBorder="1"/>
    <xf numFmtId="0" fontId="6" fillId="0" borderId="4" xfId="0" applyFont="1" applyBorder="1"/>
    <xf numFmtId="0" fontId="7" fillId="0" borderId="9" xfId="0" applyFont="1" applyBorder="1" applyAlignment="1">
      <alignment horizontal="center" wrapText="1"/>
    </xf>
    <xf numFmtId="0" fontId="2" fillId="0" borderId="6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 applyFont="1" applyAlignment="1"/>
    <xf numFmtId="164" fontId="3" fillId="0" borderId="0" xfId="0" applyNumberFormat="1" applyFont="1" applyAlignment="1">
      <alignment horizontal="right"/>
    </xf>
    <xf numFmtId="0" fontId="4" fillId="0" borderId="1" xfId="0" applyFont="1" applyBorder="1" applyAlignment="1">
      <alignment textRotation="90" wrapText="1"/>
    </xf>
    <xf numFmtId="0" fontId="6" fillId="0" borderId="12" xfId="0" applyFont="1" applyBorder="1"/>
    <xf numFmtId="0" fontId="5" fillId="0" borderId="2" xfId="0" applyFont="1" applyBorder="1" applyAlignment="1">
      <alignment horizontal="center"/>
    </xf>
    <xf numFmtId="3" fontId="1" fillId="0" borderId="36" xfId="0" applyNumberFormat="1" applyFont="1" applyBorder="1" applyAlignment="1">
      <alignment horizontal="center" vertical="center"/>
    </xf>
    <xf numFmtId="165" fontId="1" fillId="0" borderId="36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000"/>
  <sheetViews>
    <sheetView tabSelected="1" topLeftCell="L27" workbookViewId="0">
      <selection activeCell="AA48" sqref="AA48:AA54"/>
    </sheetView>
  </sheetViews>
  <sheetFormatPr defaultColWidth="12.6640625" defaultRowHeight="15" customHeight="1" x14ac:dyDescent="0.25"/>
  <cols>
    <col min="1" max="1" width="2.88671875" customWidth="1"/>
    <col min="2" max="2" width="3.44140625" customWidth="1"/>
    <col min="3" max="3" width="11.44140625" customWidth="1"/>
    <col min="4" max="4" width="13.33203125" customWidth="1"/>
    <col min="5" max="5" width="38.44140625" customWidth="1"/>
    <col min="6" max="6" width="33.109375" customWidth="1"/>
    <col min="7" max="7" width="24.88671875" customWidth="1"/>
    <col min="8" max="8" width="32.44140625" customWidth="1"/>
    <col min="9" max="9" width="10.33203125" customWidth="1"/>
    <col min="10" max="10" width="11.44140625" customWidth="1"/>
    <col min="11" max="11" width="10.44140625" customWidth="1"/>
    <col min="12" max="13" width="2.88671875" customWidth="1"/>
    <col min="14" max="16" width="4" customWidth="1"/>
    <col min="17" max="17" width="3.44140625" customWidth="1"/>
    <col min="18" max="18" width="7.88671875" customWidth="1"/>
    <col min="19" max="19" width="9.109375" hidden="1" customWidth="1"/>
    <col min="20" max="20" width="12.33203125" customWidth="1"/>
    <col min="21" max="21" width="9.44140625" customWidth="1"/>
    <col min="22" max="22" width="12.33203125" customWidth="1"/>
    <col min="23" max="23" width="11.6640625" customWidth="1"/>
    <col min="24" max="24" width="34.33203125" customWidth="1"/>
    <col min="25" max="25" width="38.6640625" customWidth="1"/>
    <col min="26" max="26" width="15.6640625" customWidth="1"/>
    <col min="27" max="27" width="17" customWidth="1"/>
    <col min="28" max="28" width="28.44140625" customWidth="1"/>
    <col min="29" max="29" width="9.109375" customWidth="1"/>
    <col min="30" max="31" width="8.88671875" customWidth="1"/>
    <col min="33" max="38" width="8.88671875" customWidth="1"/>
  </cols>
  <sheetData>
    <row r="1" spans="1:38" ht="12.75" customHeight="1" x14ac:dyDescent="0.25">
      <c r="H1" s="1"/>
      <c r="I1" s="2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Z1" s="1"/>
      <c r="AC1" s="1"/>
    </row>
    <row r="2" spans="1:38" ht="30" customHeight="1" x14ac:dyDescent="0.3">
      <c r="C2" s="3"/>
      <c r="D2" s="121"/>
      <c r="E2" s="122"/>
      <c r="F2" s="4"/>
      <c r="G2" s="5"/>
      <c r="H2" s="1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Z2" s="1"/>
      <c r="AC2" s="1"/>
    </row>
    <row r="3" spans="1:38" ht="30" customHeight="1" x14ac:dyDescent="0.3">
      <c r="C3" s="3"/>
      <c r="D3" s="121"/>
      <c r="E3" s="122"/>
      <c r="F3" s="4"/>
      <c r="G3" s="5"/>
      <c r="H3" s="1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Z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8" ht="30" customHeight="1" x14ac:dyDescent="0.3">
      <c r="C4" s="3" t="s">
        <v>0</v>
      </c>
      <c r="D4" s="123">
        <v>45250</v>
      </c>
      <c r="E4" s="122"/>
      <c r="F4" s="4"/>
      <c r="G4" s="5"/>
      <c r="H4" s="1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Z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8" ht="30" customHeight="1" x14ac:dyDescent="0.3">
      <c r="C5" s="3" t="s">
        <v>1</v>
      </c>
      <c r="D5" s="6" t="s">
        <v>2</v>
      </c>
      <c r="E5" s="4" t="s">
        <v>3</v>
      </c>
      <c r="F5" s="4" t="s">
        <v>4</v>
      </c>
      <c r="G5" s="7"/>
      <c r="H5" s="1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Z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8" ht="13.5" customHeight="1" x14ac:dyDescent="0.25">
      <c r="C6" s="8"/>
      <c r="D6" s="9"/>
      <c r="E6" s="10"/>
      <c r="F6" s="10"/>
      <c r="H6" s="1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Z6" s="1"/>
      <c r="AC6" s="1"/>
      <c r="AD6" s="1"/>
      <c r="AE6" s="1"/>
      <c r="AF6" s="1" t="s">
        <v>5</v>
      </c>
      <c r="AG6" s="1"/>
      <c r="AH6" s="1"/>
      <c r="AI6" s="1"/>
      <c r="AJ6" s="1"/>
      <c r="AK6" s="1"/>
      <c r="AL6" s="1"/>
    </row>
    <row r="7" spans="1:38" ht="25.5" customHeight="1" x14ac:dyDescent="0.4">
      <c r="A7" s="1"/>
      <c r="B7" s="124" t="s">
        <v>6</v>
      </c>
      <c r="C7" s="126" t="s">
        <v>7</v>
      </c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8"/>
      <c r="AC7" s="1"/>
      <c r="AD7" s="1"/>
      <c r="AE7" s="1"/>
      <c r="AF7" s="11" t="s">
        <v>8</v>
      </c>
      <c r="AG7" s="1"/>
      <c r="AH7" s="1"/>
      <c r="AI7" s="1"/>
      <c r="AJ7" s="1"/>
      <c r="AK7" s="1"/>
      <c r="AL7" s="1"/>
    </row>
    <row r="8" spans="1:38" ht="31.5" customHeight="1" x14ac:dyDescent="0.3">
      <c r="A8" s="1"/>
      <c r="B8" s="76"/>
      <c r="C8" s="120" t="s">
        <v>9</v>
      </c>
      <c r="D8" s="103"/>
      <c r="E8" s="103"/>
      <c r="F8" s="103"/>
      <c r="G8" s="103"/>
      <c r="H8" s="93"/>
      <c r="I8" s="112" t="s">
        <v>10</v>
      </c>
      <c r="J8" s="113"/>
      <c r="K8" s="113"/>
      <c r="L8" s="113"/>
      <c r="M8" s="113"/>
      <c r="N8" s="113"/>
      <c r="O8" s="113"/>
      <c r="P8" s="113"/>
      <c r="Q8" s="113"/>
      <c r="R8" s="114"/>
      <c r="S8" s="119" t="s">
        <v>11</v>
      </c>
      <c r="T8" s="113"/>
      <c r="U8" s="113"/>
      <c r="V8" s="114"/>
      <c r="W8" s="120" t="s">
        <v>12</v>
      </c>
      <c r="X8" s="103"/>
      <c r="Y8" s="93"/>
      <c r="Z8" s="120" t="s">
        <v>13</v>
      </c>
      <c r="AA8" s="103"/>
      <c r="AB8" s="93"/>
      <c r="AC8" s="1"/>
      <c r="AD8" s="1"/>
      <c r="AE8" s="1"/>
      <c r="AF8" s="11" t="s">
        <v>14</v>
      </c>
      <c r="AG8" s="1"/>
      <c r="AH8" s="1"/>
      <c r="AI8" s="1"/>
      <c r="AJ8" s="1"/>
      <c r="AK8" s="1"/>
      <c r="AL8" s="1"/>
    </row>
    <row r="9" spans="1:38" ht="45.75" customHeight="1" x14ac:dyDescent="0.25">
      <c r="A9" s="12"/>
      <c r="B9" s="125"/>
      <c r="C9" s="13" t="s">
        <v>15</v>
      </c>
      <c r="D9" s="14" t="s">
        <v>16</v>
      </c>
      <c r="E9" s="14" t="s">
        <v>17</v>
      </c>
      <c r="F9" s="15" t="s">
        <v>18</v>
      </c>
      <c r="G9" s="14" t="s">
        <v>19</v>
      </c>
      <c r="H9" s="16" t="s">
        <v>20</v>
      </c>
      <c r="I9" s="17" t="s">
        <v>21</v>
      </c>
      <c r="J9" s="18" t="s">
        <v>22</v>
      </c>
      <c r="K9" s="18" t="s">
        <v>23</v>
      </c>
      <c r="L9" s="115" t="s">
        <v>24</v>
      </c>
      <c r="M9" s="116"/>
      <c r="N9" s="116"/>
      <c r="O9" s="116"/>
      <c r="P9" s="116"/>
      <c r="Q9" s="116"/>
      <c r="R9" s="117"/>
      <c r="S9" s="19"/>
      <c r="T9" s="13" t="s">
        <v>25</v>
      </c>
      <c r="U9" s="20" t="s">
        <v>26</v>
      </c>
      <c r="V9" s="19" t="s">
        <v>27</v>
      </c>
      <c r="W9" s="21" t="s">
        <v>28</v>
      </c>
      <c r="X9" s="22" t="s">
        <v>29</v>
      </c>
      <c r="Y9" s="23" t="s">
        <v>30</v>
      </c>
      <c r="Z9" s="21" t="s">
        <v>31</v>
      </c>
      <c r="AA9" s="24" t="s">
        <v>32</v>
      </c>
      <c r="AB9" s="25" t="s">
        <v>33</v>
      </c>
      <c r="AC9" s="12"/>
      <c r="AD9" s="12"/>
      <c r="AE9" s="12"/>
      <c r="AF9" s="11" t="s">
        <v>34</v>
      </c>
      <c r="AG9" s="12"/>
      <c r="AH9" s="12"/>
      <c r="AI9" s="12"/>
      <c r="AJ9" s="12"/>
      <c r="AK9" s="12"/>
      <c r="AL9" s="12"/>
    </row>
    <row r="10" spans="1:38" ht="24" hidden="1" customHeight="1" x14ac:dyDescent="0.25">
      <c r="A10" s="26"/>
      <c r="B10" s="1"/>
      <c r="C10" s="2" t="s">
        <v>35</v>
      </c>
      <c r="D10" s="1"/>
      <c r="E10" s="1" t="s">
        <v>36</v>
      </c>
      <c r="F10" s="1"/>
      <c r="G10" s="1"/>
      <c r="H10" s="1"/>
      <c r="I10" s="27" t="s">
        <v>37</v>
      </c>
      <c r="J10" s="1" t="s">
        <v>38</v>
      </c>
      <c r="K10" s="1" t="s">
        <v>38</v>
      </c>
      <c r="L10" s="1"/>
      <c r="M10" s="1"/>
      <c r="N10" s="1"/>
      <c r="O10" s="1"/>
      <c r="P10" s="1"/>
      <c r="Q10" s="1"/>
      <c r="R10" s="1"/>
      <c r="S10" s="1"/>
      <c r="T10" s="1">
        <v>0.9</v>
      </c>
      <c r="U10" s="1"/>
      <c r="V10" s="1"/>
      <c r="W10" s="28" t="s">
        <v>39</v>
      </c>
      <c r="X10" s="1"/>
      <c r="Y10" s="1"/>
      <c r="Z10" s="29"/>
      <c r="AA10" s="30"/>
      <c r="AB10" s="26"/>
      <c r="AC10" s="1"/>
      <c r="AD10" s="1"/>
      <c r="AE10" s="1"/>
      <c r="AF10" s="11" t="s">
        <v>40</v>
      </c>
      <c r="AG10" s="1"/>
      <c r="AH10" s="1"/>
      <c r="AI10" s="1"/>
      <c r="AJ10" s="1"/>
      <c r="AK10" s="1"/>
      <c r="AL10" s="1"/>
    </row>
    <row r="11" spans="1:38" ht="18.75" hidden="1" customHeight="1" x14ac:dyDescent="0.25">
      <c r="A11" s="26"/>
      <c r="B11" s="1"/>
      <c r="C11" s="2" t="s">
        <v>41</v>
      </c>
      <c r="D11" s="1"/>
      <c r="E11" s="1" t="s">
        <v>42</v>
      </c>
      <c r="F11" s="1"/>
      <c r="G11" s="1"/>
      <c r="H11" s="1"/>
      <c r="I11" s="27" t="s">
        <v>43</v>
      </c>
      <c r="J11" s="1" t="s">
        <v>44</v>
      </c>
      <c r="K11" s="1" t="s">
        <v>44</v>
      </c>
      <c r="L11" s="1"/>
      <c r="M11" s="1"/>
      <c r="N11" s="1"/>
      <c r="O11" s="1"/>
      <c r="P11" s="1"/>
      <c r="Q11" s="1"/>
      <c r="R11" s="1"/>
      <c r="S11" s="1"/>
      <c r="T11" s="1">
        <v>0.7</v>
      </c>
      <c r="U11" s="1"/>
      <c r="V11" s="1"/>
      <c r="W11" s="28" t="s">
        <v>45</v>
      </c>
      <c r="X11" s="1"/>
      <c r="Y11" s="1"/>
      <c r="Z11" s="29"/>
      <c r="AA11" s="28"/>
      <c r="AB11" s="31"/>
      <c r="AC11" s="1"/>
      <c r="AD11" s="1"/>
      <c r="AE11" s="1"/>
      <c r="AF11" s="11" t="s">
        <v>46</v>
      </c>
      <c r="AG11" s="1"/>
      <c r="AH11" s="1"/>
      <c r="AI11" s="1"/>
      <c r="AJ11" s="1"/>
      <c r="AK11" s="1"/>
      <c r="AL11" s="1"/>
    </row>
    <row r="12" spans="1:38" ht="18.75" hidden="1" customHeight="1" x14ac:dyDescent="0.25">
      <c r="A12" s="26"/>
      <c r="B12" s="1"/>
      <c r="C12" s="2" t="s">
        <v>47</v>
      </c>
      <c r="D12" s="1"/>
      <c r="E12" s="1" t="s">
        <v>48</v>
      </c>
      <c r="F12" s="1"/>
      <c r="H12" s="1"/>
      <c r="I12" s="27" t="s">
        <v>49</v>
      </c>
      <c r="J12" s="1" t="s">
        <v>50</v>
      </c>
      <c r="K12" s="1" t="s">
        <v>50</v>
      </c>
      <c r="L12" s="1"/>
      <c r="M12" s="1"/>
      <c r="N12" s="1"/>
      <c r="O12" s="1"/>
      <c r="P12" s="1"/>
      <c r="Q12" s="1"/>
      <c r="R12" s="1"/>
      <c r="S12" s="1"/>
      <c r="T12" s="1">
        <v>0.5</v>
      </c>
      <c r="U12" s="1"/>
      <c r="V12" s="1"/>
      <c r="W12" s="28" t="s">
        <v>51</v>
      </c>
      <c r="X12" s="1"/>
      <c r="Y12" s="1"/>
      <c r="Z12" s="29"/>
      <c r="AA12" s="28"/>
      <c r="AB12" s="31"/>
      <c r="AC12" s="1"/>
      <c r="AD12" s="1"/>
      <c r="AE12" s="1"/>
      <c r="AF12" s="11" t="s">
        <v>52</v>
      </c>
      <c r="AG12" s="1"/>
      <c r="AH12" s="1"/>
      <c r="AI12" s="1"/>
      <c r="AJ12" s="1"/>
      <c r="AK12" s="1"/>
      <c r="AL12" s="1"/>
    </row>
    <row r="13" spans="1:38" ht="18.75" hidden="1" customHeight="1" x14ac:dyDescent="0.25">
      <c r="A13" s="26"/>
      <c r="B13" s="1"/>
      <c r="C13" s="2"/>
      <c r="D13" s="1"/>
      <c r="E13" s="1" t="s">
        <v>53</v>
      </c>
      <c r="F13" s="1"/>
      <c r="H13" s="1"/>
      <c r="I13" s="27" t="s">
        <v>54</v>
      </c>
      <c r="J13" s="1" t="s">
        <v>55</v>
      </c>
      <c r="K13" s="1" t="s">
        <v>55</v>
      </c>
      <c r="L13" s="1"/>
      <c r="M13" s="1"/>
      <c r="N13" s="1"/>
      <c r="O13" s="1"/>
      <c r="P13" s="1"/>
      <c r="Q13" s="1"/>
      <c r="R13" s="1"/>
      <c r="S13" s="1"/>
      <c r="T13" s="1">
        <v>0.3</v>
      </c>
      <c r="U13" s="1"/>
      <c r="V13" s="1"/>
      <c r="W13" s="28" t="s">
        <v>56</v>
      </c>
      <c r="X13" s="1"/>
      <c r="Y13" s="1"/>
      <c r="Z13" s="29"/>
      <c r="AA13" s="28"/>
      <c r="AB13" s="31"/>
      <c r="AC13" s="1"/>
      <c r="AD13" s="1"/>
      <c r="AE13" s="1"/>
      <c r="AF13" s="11" t="s">
        <v>57</v>
      </c>
      <c r="AG13" s="1"/>
      <c r="AH13" s="1"/>
      <c r="AI13" s="1"/>
      <c r="AJ13" s="1"/>
      <c r="AK13" s="1"/>
      <c r="AL13" s="1"/>
    </row>
    <row r="14" spans="1:38" ht="18.75" hidden="1" customHeight="1" x14ac:dyDescent="0.25">
      <c r="A14" s="26"/>
      <c r="B14" s="1"/>
      <c r="C14" s="2"/>
      <c r="D14" s="1"/>
      <c r="E14" s="1"/>
      <c r="F14" s="1"/>
      <c r="H14" s="1"/>
      <c r="I14" s="27"/>
      <c r="J14" s="1" t="s">
        <v>58</v>
      </c>
      <c r="K14" s="1" t="s">
        <v>58</v>
      </c>
      <c r="L14" s="1"/>
      <c r="M14" s="1"/>
      <c r="N14" s="1"/>
      <c r="O14" s="1"/>
      <c r="P14" s="1"/>
      <c r="Q14" s="1"/>
      <c r="R14" s="1"/>
      <c r="S14" s="1"/>
      <c r="T14" s="1">
        <v>0.1</v>
      </c>
      <c r="U14" s="1"/>
      <c r="V14" s="1"/>
      <c r="W14" s="28" t="s">
        <v>59</v>
      </c>
      <c r="X14" s="1"/>
      <c r="Y14" s="1"/>
      <c r="Z14" s="29"/>
      <c r="AA14" s="30"/>
      <c r="AB14" s="31"/>
      <c r="AC14" s="1"/>
      <c r="AD14" s="1"/>
      <c r="AE14" s="1"/>
      <c r="AF14" s="11" t="s">
        <v>60</v>
      </c>
      <c r="AG14" s="1"/>
      <c r="AH14" s="1"/>
      <c r="AI14" s="1"/>
      <c r="AJ14" s="1"/>
      <c r="AK14" s="1"/>
      <c r="AL14" s="1"/>
    </row>
    <row r="15" spans="1:38" ht="12.75" customHeight="1" x14ac:dyDescent="0.25">
      <c r="A15" s="2"/>
      <c r="B15" s="32" t="s">
        <v>61</v>
      </c>
      <c r="C15" s="33" t="s">
        <v>62</v>
      </c>
      <c r="D15" s="34" t="s">
        <v>63</v>
      </c>
      <c r="E15" s="34" t="s">
        <v>64</v>
      </c>
      <c r="F15" s="34" t="s">
        <v>65</v>
      </c>
      <c r="G15" s="34" t="s">
        <v>66</v>
      </c>
      <c r="H15" s="35" t="s">
        <v>67</v>
      </c>
      <c r="I15" s="33" t="s">
        <v>68</v>
      </c>
      <c r="J15" s="34" t="s">
        <v>69</v>
      </c>
      <c r="K15" s="36" t="s">
        <v>70</v>
      </c>
      <c r="L15" s="110" t="s">
        <v>71</v>
      </c>
      <c r="M15" s="111"/>
      <c r="N15" s="111"/>
      <c r="O15" s="111"/>
      <c r="P15" s="111"/>
      <c r="Q15" s="111"/>
      <c r="R15" s="118"/>
      <c r="S15" s="110" t="s">
        <v>72</v>
      </c>
      <c r="T15" s="111"/>
      <c r="U15" s="36" t="s">
        <v>73</v>
      </c>
      <c r="V15" s="35" t="s">
        <v>74</v>
      </c>
      <c r="W15" s="33" t="s">
        <v>75</v>
      </c>
      <c r="X15" s="34" t="s">
        <v>76</v>
      </c>
      <c r="Y15" s="35" t="s">
        <v>77</v>
      </c>
      <c r="Z15" s="37" t="s">
        <v>78</v>
      </c>
      <c r="AA15" s="34" t="s">
        <v>79</v>
      </c>
      <c r="AB15" s="35" t="s">
        <v>80</v>
      </c>
      <c r="AC15" s="2"/>
      <c r="AD15" s="2"/>
      <c r="AE15" s="2"/>
      <c r="AF15" s="11" t="s">
        <v>81</v>
      </c>
      <c r="AG15" s="2"/>
      <c r="AH15" s="2"/>
      <c r="AI15" s="2"/>
      <c r="AJ15" s="2"/>
      <c r="AK15" s="2"/>
      <c r="AL15" s="2"/>
    </row>
    <row r="16" spans="1:38" ht="18" customHeight="1" x14ac:dyDescent="0.25">
      <c r="A16" s="2"/>
      <c r="B16" s="75">
        <v>1</v>
      </c>
      <c r="C16" s="78" t="s">
        <v>35</v>
      </c>
      <c r="D16" s="81" t="s">
        <v>82</v>
      </c>
      <c r="E16" s="104">
        <v>45222</v>
      </c>
      <c r="F16" s="106" t="s">
        <v>83</v>
      </c>
      <c r="G16" s="107" t="s">
        <v>84</v>
      </c>
      <c r="H16" s="108" t="s">
        <v>85</v>
      </c>
      <c r="I16" s="109" t="s">
        <v>86</v>
      </c>
      <c r="J16" s="81" t="s">
        <v>50</v>
      </c>
      <c r="K16" s="94" t="s">
        <v>44</v>
      </c>
      <c r="L16" s="97" t="s">
        <v>22</v>
      </c>
      <c r="M16" s="39" t="s">
        <v>87</v>
      </c>
      <c r="N16" s="40" t="str">
        <f>IF(AND(K16="VERY LOW",J16="VERY HIGH")=TRUE,"X"," ")</f>
        <v xml:space="preserve"> </v>
      </c>
      <c r="O16" s="41" t="str">
        <f>IF(AND(K16="LOW",J16="VERY HIGH")=TRUE,"X"," ")</f>
        <v xml:space="preserve"> </v>
      </c>
      <c r="P16" s="42" t="str">
        <f>IF(AND(K16="MODERATE",J16="VERY HIGH")=TRUE,"X"," ")</f>
        <v xml:space="preserve"> </v>
      </c>
      <c r="Q16" s="42" t="str">
        <f>IF(AND(K16="HIGH",J16="VERY HIGH")=TRUE,"X"," ")</f>
        <v xml:space="preserve"> </v>
      </c>
      <c r="R16" s="42" t="str">
        <f>IF(AND(K16="VERY HIGH",J16="VERY HIGH")=TRUE,"X"," ")</f>
        <v xml:space="preserve"> </v>
      </c>
      <c r="S16" s="43" t="e">
        <f>IF(J16=#REF!,#REF!,0)</f>
        <v>#REF!</v>
      </c>
      <c r="T16" s="98">
        <v>0.9</v>
      </c>
      <c r="U16" s="99">
        <v>2</v>
      </c>
      <c r="V16" s="127">
        <f>T16*U16</f>
        <v>1.8</v>
      </c>
      <c r="W16" s="101" t="s">
        <v>56</v>
      </c>
      <c r="X16" s="83" t="s">
        <v>88</v>
      </c>
      <c r="Y16" s="128"/>
      <c r="Z16" s="88" t="s">
        <v>89</v>
      </c>
      <c r="AA16" s="81" t="s">
        <v>143</v>
      </c>
      <c r="AB16" s="91"/>
      <c r="AC16" s="2"/>
      <c r="AD16" s="2"/>
      <c r="AE16" s="2"/>
      <c r="AF16" s="11" t="s">
        <v>90</v>
      </c>
      <c r="AG16" s="2"/>
      <c r="AH16" s="2"/>
      <c r="AI16" s="2"/>
      <c r="AJ16" s="2"/>
      <c r="AK16" s="2"/>
      <c r="AL16" s="2"/>
    </row>
    <row r="17" spans="1:38" ht="18" customHeight="1" x14ac:dyDescent="0.25">
      <c r="A17" s="2"/>
      <c r="B17" s="76"/>
      <c r="C17" s="79"/>
      <c r="D17" s="82"/>
      <c r="E17" s="82"/>
      <c r="F17" s="82"/>
      <c r="G17" s="82"/>
      <c r="H17" s="86"/>
      <c r="I17" s="79"/>
      <c r="J17" s="82"/>
      <c r="K17" s="95"/>
      <c r="L17" s="95"/>
      <c r="M17" s="39" t="s">
        <v>91</v>
      </c>
      <c r="N17" s="40" t="str">
        <f>IF(AND(K16="VERY LOW",J16="HIGH")=TRUE,"X"," ")</f>
        <v xml:space="preserve"> </v>
      </c>
      <c r="O17" s="41" t="str">
        <f>IF(AND(K16="LOW",J16="HIGH")=TRUE,"X"," ")</f>
        <v xml:space="preserve"> </v>
      </c>
      <c r="P17" s="42" t="str">
        <f>IF(AND(K16="MODERATE",J16="HIGH")=TRUE,"X"," ")</f>
        <v xml:space="preserve"> </v>
      </c>
      <c r="Q17" s="42" t="str">
        <f>IF(AND(K16="HIGH",J16="HIGH")=TRUE,"X"," ")</f>
        <v xml:space="preserve"> </v>
      </c>
      <c r="R17" s="42" t="str">
        <f>IF(AND(K16="VERY HIGH",J16="HIGH")=TRUE,"X"," ")</f>
        <v xml:space="preserve"> </v>
      </c>
      <c r="S17" s="44" t="e">
        <f>IF(J16=#REF!,#REF!,0)</f>
        <v>#REF!</v>
      </c>
      <c r="T17" s="79"/>
      <c r="U17" s="95"/>
      <c r="V17" s="86"/>
      <c r="W17" s="79"/>
      <c r="X17" s="82"/>
      <c r="Y17" s="86"/>
      <c r="Z17" s="89"/>
      <c r="AA17" s="82"/>
      <c r="AB17" s="92"/>
      <c r="AC17" s="2"/>
      <c r="AD17" s="2"/>
      <c r="AE17" s="2"/>
      <c r="AF17" s="11"/>
      <c r="AG17" s="2"/>
      <c r="AH17" s="2"/>
      <c r="AI17" s="2"/>
      <c r="AJ17" s="2"/>
      <c r="AK17" s="2"/>
      <c r="AL17" s="2"/>
    </row>
    <row r="18" spans="1:38" ht="18" customHeight="1" x14ac:dyDescent="0.25">
      <c r="A18" s="2"/>
      <c r="B18" s="76"/>
      <c r="C18" s="79"/>
      <c r="D18" s="82"/>
      <c r="E18" s="45"/>
      <c r="F18" s="82"/>
      <c r="G18" s="82"/>
      <c r="H18" s="86"/>
      <c r="I18" s="79"/>
      <c r="J18" s="82"/>
      <c r="K18" s="95"/>
      <c r="L18" s="95"/>
      <c r="M18" s="39" t="s">
        <v>92</v>
      </c>
      <c r="N18" s="40" t="str">
        <f>IF(AND(K16="VERY LOW",J16="MODERATE")=TRUE,"X"," ")</f>
        <v xml:space="preserve"> </v>
      </c>
      <c r="O18" s="46" t="str">
        <f>IF(AND(K16="LOW",J16="MODERATE")=TRUE,"X"," ")</f>
        <v xml:space="preserve"> </v>
      </c>
      <c r="P18" s="41" t="str">
        <f>IF(AND(K16="MODERATE",J16="MODERATE")=TRUE,"X"," ")</f>
        <v xml:space="preserve"> </v>
      </c>
      <c r="Q18" s="42" t="str">
        <f>IF(AND(K16="HIGH",J16="MODERATE")=TRUE,"X"," ")</f>
        <v>X</v>
      </c>
      <c r="R18" s="42" t="str">
        <f>IF(AND(K16="VERY HIGH",J16="MODERATE")=TRUE,"X"," ")</f>
        <v xml:space="preserve"> </v>
      </c>
      <c r="S18" s="44" t="e">
        <f>IF(J16=#REF!,#REF!,0)</f>
        <v>#REF!</v>
      </c>
      <c r="T18" s="79"/>
      <c r="U18" s="95"/>
      <c r="V18" s="86"/>
      <c r="W18" s="79"/>
      <c r="X18" s="82"/>
      <c r="Y18" s="86"/>
      <c r="Z18" s="89"/>
      <c r="AA18" s="82"/>
      <c r="AB18" s="92"/>
      <c r="AC18" s="2"/>
      <c r="AD18" s="2"/>
      <c r="AE18" s="2"/>
      <c r="AF18" s="11"/>
      <c r="AG18" s="2"/>
      <c r="AH18" s="2"/>
      <c r="AI18" s="2"/>
      <c r="AJ18" s="2"/>
      <c r="AK18" s="2"/>
      <c r="AL18" s="2"/>
    </row>
    <row r="19" spans="1:38" ht="18" customHeight="1" x14ac:dyDescent="0.25">
      <c r="A19" s="2"/>
      <c r="B19" s="76"/>
      <c r="C19" s="79"/>
      <c r="D19" s="82"/>
      <c r="E19" s="47" t="s">
        <v>83</v>
      </c>
      <c r="F19" s="82"/>
      <c r="G19" s="82"/>
      <c r="H19" s="86"/>
      <c r="I19" s="79"/>
      <c r="J19" s="82"/>
      <c r="K19" s="95"/>
      <c r="L19" s="95"/>
      <c r="M19" s="39" t="s">
        <v>93</v>
      </c>
      <c r="N19" s="40" t="str">
        <f>IF(AND(K16="VERY LOW",J16="LOW")=TRUE,"X"," ")</f>
        <v xml:space="preserve"> </v>
      </c>
      <c r="O19" s="46" t="str">
        <f>IF(AND(K16="LOW",J16="LOW")=TRUE,"X"," ")</f>
        <v xml:space="preserve"> </v>
      </c>
      <c r="P19" s="41" t="str">
        <f>IF(AND(K16="MODERATE",J16="LOW")=TRUE,"X"," ")</f>
        <v xml:space="preserve"> </v>
      </c>
      <c r="Q19" s="42" t="str">
        <f>IF(AND(K16="HIGH",J16="LOW")=TRUE,"X"," ")</f>
        <v xml:space="preserve"> </v>
      </c>
      <c r="R19" s="42" t="str">
        <f>IF(AND(K16="VERY HIGH",J16="LOW")=TRUE,"X"," ")</f>
        <v xml:space="preserve"> </v>
      </c>
      <c r="S19" s="44" t="e">
        <f>IF(J16=#REF!,#REF!,0)</f>
        <v>#REF!</v>
      </c>
      <c r="T19" s="79"/>
      <c r="U19" s="95"/>
      <c r="V19" s="86"/>
      <c r="W19" s="79"/>
      <c r="X19" s="82"/>
      <c r="Y19" s="86"/>
      <c r="Z19" s="89"/>
      <c r="AA19" s="82"/>
      <c r="AB19" s="92"/>
      <c r="AC19" s="2"/>
      <c r="AD19" s="2"/>
      <c r="AE19" s="2"/>
      <c r="AF19" s="11" t="s">
        <v>94</v>
      </c>
      <c r="AG19" s="2"/>
      <c r="AH19" s="2"/>
      <c r="AI19" s="2"/>
      <c r="AJ19" s="2"/>
      <c r="AK19" s="2"/>
      <c r="AL19" s="2"/>
    </row>
    <row r="20" spans="1:38" ht="18" customHeight="1" x14ac:dyDescent="0.25">
      <c r="A20" s="1"/>
      <c r="B20" s="76"/>
      <c r="C20" s="79"/>
      <c r="D20" s="82"/>
      <c r="E20" s="105"/>
      <c r="F20" s="82"/>
      <c r="G20" s="82"/>
      <c r="H20" s="86"/>
      <c r="I20" s="79"/>
      <c r="J20" s="82"/>
      <c r="K20" s="95"/>
      <c r="L20" s="95"/>
      <c r="M20" s="39" t="s">
        <v>95</v>
      </c>
      <c r="N20" s="48" t="str">
        <f>IF(AND(K16="VERY LOW",J16="VERY LOW")=TRUE,"X"," ")</f>
        <v xml:space="preserve"> </v>
      </c>
      <c r="O20" s="49" t="str">
        <f>IF(AND(K16="LOW",J16="VERY LOW")=TRUE,"X"," ")</f>
        <v xml:space="preserve"> </v>
      </c>
      <c r="P20" s="49" t="str">
        <f>IF(AND(K16="MODERATE",J16="VERY LOW")=TRUE,"X"," ")</f>
        <v xml:space="preserve"> </v>
      </c>
      <c r="Q20" s="50" t="str">
        <f>IF(AND(K16="HIGH",J16="VERY LOW")=TRUE,"X"," ")</f>
        <v xml:space="preserve"> </v>
      </c>
      <c r="R20" s="51" t="str">
        <f>IF(AND(K16="VERY HIGH",J16="VERY LOW")=TRUE,"X"," ")</f>
        <v xml:space="preserve"> </v>
      </c>
      <c r="S20" s="2" t="e">
        <f>IF(J16=#REF!,#REF!,0)</f>
        <v>#REF!</v>
      </c>
      <c r="T20" s="79"/>
      <c r="U20" s="95"/>
      <c r="V20" s="86"/>
      <c r="W20" s="79"/>
      <c r="X20" s="82"/>
      <c r="Y20" s="86"/>
      <c r="Z20" s="89"/>
      <c r="AA20" s="82"/>
      <c r="AB20" s="92"/>
      <c r="AC20" s="1"/>
      <c r="AD20" s="1"/>
      <c r="AE20" s="1"/>
      <c r="AF20" s="11" t="s">
        <v>96</v>
      </c>
      <c r="AG20" s="1"/>
      <c r="AH20" s="1"/>
      <c r="AI20" s="1"/>
      <c r="AJ20" s="1"/>
      <c r="AK20" s="1"/>
      <c r="AL20" s="1"/>
    </row>
    <row r="21" spans="1:38" ht="14.25" customHeight="1" x14ac:dyDescent="0.25">
      <c r="A21" s="1"/>
      <c r="B21" s="76"/>
      <c r="C21" s="79"/>
      <c r="D21" s="82"/>
      <c r="E21" s="82"/>
      <c r="F21" s="82"/>
      <c r="G21" s="82"/>
      <c r="H21" s="86"/>
      <c r="I21" s="79"/>
      <c r="J21" s="82"/>
      <c r="K21" s="95"/>
      <c r="L21" s="38"/>
      <c r="M21" s="39"/>
      <c r="N21" s="39" t="s">
        <v>95</v>
      </c>
      <c r="O21" s="39" t="s">
        <v>93</v>
      </c>
      <c r="P21" s="39" t="s">
        <v>92</v>
      </c>
      <c r="Q21" s="39" t="s">
        <v>91</v>
      </c>
      <c r="R21" s="39" t="s">
        <v>87</v>
      </c>
      <c r="S21" s="44"/>
      <c r="T21" s="79"/>
      <c r="U21" s="95"/>
      <c r="V21" s="86"/>
      <c r="W21" s="79"/>
      <c r="X21" s="82"/>
      <c r="Y21" s="86"/>
      <c r="Z21" s="89"/>
      <c r="AA21" s="82"/>
      <c r="AB21" s="92"/>
      <c r="AC21" s="1"/>
      <c r="AD21" s="1"/>
      <c r="AE21" s="1"/>
      <c r="AF21" s="11" t="s">
        <v>97</v>
      </c>
      <c r="AG21" s="1"/>
      <c r="AH21" s="1"/>
      <c r="AI21" s="1"/>
      <c r="AJ21" s="1"/>
      <c r="AK21" s="1"/>
      <c r="AL21" s="1"/>
    </row>
    <row r="22" spans="1:38" ht="11.25" customHeight="1" x14ac:dyDescent="0.25">
      <c r="A22" s="1"/>
      <c r="B22" s="77"/>
      <c r="C22" s="80"/>
      <c r="D22" s="82"/>
      <c r="E22" s="84"/>
      <c r="F22" s="84"/>
      <c r="G22" s="84"/>
      <c r="H22" s="87"/>
      <c r="I22" s="80"/>
      <c r="J22" s="84"/>
      <c r="K22" s="96"/>
      <c r="L22" s="52"/>
      <c r="M22" s="53"/>
      <c r="N22" s="102" t="s">
        <v>23</v>
      </c>
      <c r="O22" s="103"/>
      <c r="P22" s="103"/>
      <c r="Q22" s="103"/>
      <c r="R22" s="103"/>
      <c r="S22" s="54"/>
      <c r="T22" s="80"/>
      <c r="U22" s="96"/>
      <c r="V22" s="87"/>
      <c r="W22" s="80"/>
      <c r="X22" s="84"/>
      <c r="Y22" s="87"/>
      <c r="Z22" s="90"/>
      <c r="AA22" s="84"/>
      <c r="AB22" s="93"/>
      <c r="AC22" s="1"/>
      <c r="AD22" s="1"/>
      <c r="AE22" s="1"/>
      <c r="AF22" s="11" t="s">
        <v>98</v>
      </c>
      <c r="AG22" s="1"/>
      <c r="AH22" s="1"/>
      <c r="AI22" s="1"/>
      <c r="AJ22" s="1"/>
      <c r="AK22" s="1"/>
      <c r="AL22" s="1"/>
    </row>
    <row r="23" spans="1:38" ht="6.75" customHeight="1" x14ac:dyDescent="0.25">
      <c r="A23" s="26"/>
      <c r="B23" s="55"/>
      <c r="C23" s="56"/>
      <c r="D23" s="57"/>
      <c r="E23" s="57"/>
      <c r="F23" s="57"/>
      <c r="G23" s="58"/>
      <c r="H23" s="59"/>
      <c r="I23" s="60"/>
      <c r="J23" s="61"/>
      <c r="K23" s="61"/>
      <c r="L23" s="62"/>
      <c r="M23" s="63"/>
      <c r="N23" s="62"/>
      <c r="O23" s="64"/>
      <c r="P23" s="64"/>
      <c r="Q23" s="64"/>
      <c r="R23" s="64"/>
      <c r="S23" s="65"/>
      <c r="T23" s="66"/>
      <c r="U23" s="67"/>
      <c r="V23" s="67"/>
      <c r="W23" s="68"/>
      <c r="X23" s="69"/>
      <c r="Y23" s="70"/>
      <c r="Z23" s="71"/>
      <c r="AA23" s="72"/>
      <c r="AB23" s="73"/>
      <c r="AC23" s="1"/>
      <c r="AD23" s="1"/>
      <c r="AE23" s="1"/>
      <c r="AF23" s="11" t="s">
        <v>99</v>
      </c>
      <c r="AG23" s="1"/>
      <c r="AH23" s="1"/>
      <c r="AI23" s="1"/>
      <c r="AJ23" s="1"/>
      <c r="AK23" s="1"/>
      <c r="AL23" s="1"/>
    </row>
    <row r="24" spans="1:38" ht="18" customHeight="1" x14ac:dyDescent="0.25">
      <c r="A24" s="2"/>
      <c r="B24" s="75">
        <v>2</v>
      </c>
      <c r="C24" s="78" t="s">
        <v>35</v>
      </c>
      <c r="D24" s="81" t="s">
        <v>100</v>
      </c>
      <c r="E24" s="104">
        <v>45234</v>
      </c>
      <c r="F24" s="106" t="s">
        <v>101</v>
      </c>
      <c r="G24" s="107" t="s">
        <v>102</v>
      </c>
      <c r="H24" s="108" t="s">
        <v>103</v>
      </c>
      <c r="I24" s="109" t="s">
        <v>54</v>
      </c>
      <c r="J24" s="81" t="s">
        <v>44</v>
      </c>
      <c r="K24" s="94" t="s">
        <v>38</v>
      </c>
      <c r="L24" s="97" t="s">
        <v>22</v>
      </c>
      <c r="M24" s="39" t="s">
        <v>87</v>
      </c>
      <c r="N24" s="40" t="str">
        <f>IF(AND(K24="VERY LOW",J24="VERY HIGH")=TRUE,"X"," ")</f>
        <v xml:space="preserve"> </v>
      </c>
      <c r="O24" s="41" t="str">
        <f>IF(AND(K24="LOW",J24="VERY HIGH")=TRUE,"X"," ")</f>
        <v xml:space="preserve"> </v>
      </c>
      <c r="P24" s="42" t="str">
        <f>IF(AND(K24="MODERATE",J24="VERY HIGH")=TRUE,"X"," ")</f>
        <v xml:space="preserve"> </v>
      </c>
      <c r="Q24" s="42" t="str">
        <f>IF(AND(K24="HIGH",J24="VERY HIGH")=TRUE,"X"," ")</f>
        <v xml:space="preserve"> </v>
      </c>
      <c r="R24" s="42" t="str">
        <f>IF(AND(K24="VERY HIGH",J24="VERY HIGH")=TRUE,"X"," ")</f>
        <v xml:space="preserve"> </v>
      </c>
      <c r="S24" s="43" t="e">
        <f>IF(J24=#REF!,#REF!,0)</f>
        <v>#REF!</v>
      </c>
      <c r="T24" s="98">
        <v>0.7</v>
      </c>
      <c r="U24" s="99">
        <v>7</v>
      </c>
      <c r="V24" s="100">
        <f>T24*U24</f>
        <v>4.8999999999999995</v>
      </c>
      <c r="W24" s="101" t="s">
        <v>56</v>
      </c>
      <c r="X24" s="83" t="s">
        <v>104</v>
      </c>
      <c r="Y24" s="85"/>
      <c r="Z24" s="88" t="s">
        <v>105</v>
      </c>
      <c r="AA24" s="81" t="s">
        <v>143</v>
      </c>
      <c r="AB24" s="91"/>
      <c r="AC24" s="2"/>
      <c r="AD24" s="2"/>
      <c r="AE24" s="2"/>
      <c r="AF24" s="11" t="s">
        <v>106</v>
      </c>
      <c r="AG24" s="2"/>
      <c r="AH24" s="2"/>
      <c r="AI24" s="2"/>
      <c r="AJ24" s="2"/>
      <c r="AK24" s="2"/>
      <c r="AL24" s="2"/>
    </row>
    <row r="25" spans="1:38" ht="18" customHeight="1" x14ac:dyDescent="0.25">
      <c r="A25" s="2"/>
      <c r="B25" s="76"/>
      <c r="C25" s="79"/>
      <c r="D25" s="82"/>
      <c r="E25" s="82"/>
      <c r="F25" s="82"/>
      <c r="G25" s="82"/>
      <c r="H25" s="86"/>
      <c r="I25" s="79"/>
      <c r="J25" s="82"/>
      <c r="K25" s="95"/>
      <c r="L25" s="95"/>
      <c r="M25" s="39" t="s">
        <v>91</v>
      </c>
      <c r="N25" s="40" t="str">
        <f>IF(AND(K24="VERY LOW",J24="HIGH")=TRUE,"X"," ")</f>
        <v xml:space="preserve"> </v>
      </c>
      <c r="O25" s="41" t="str">
        <f>IF(AND(K24="LOW",J24="HIGH")=TRUE,"X"," ")</f>
        <v xml:space="preserve"> </v>
      </c>
      <c r="P25" s="42" t="str">
        <f>IF(AND(K24="MODERATE",J24="HIGH")=TRUE,"X"," ")</f>
        <v xml:space="preserve"> </v>
      </c>
      <c r="Q25" s="42" t="str">
        <f>IF(AND(K24="HIGH",J24="HIGH")=TRUE,"X"," ")</f>
        <v xml:space="preserve"> </v>
      </c>
      <c r="R25" s="42" t="str">
        <f>IF(AND(K24="VERY HIGH",J24="HIGH")=TRUE,"X"," ")</f>
        <v>X</v>
      </c>
      <c r="S25" s="44" t="e">
        <f>IF(J24=#REF!,#REF!,0)</f>
        <v>#REF!</v>
      </c>
      <c r="T25" s="79"/>
      <c r="U25" s="95"/>
      <c r="V25" s="86"/>
      <c r="W25" s="79"/>
      <c r="X25" s="82"/>
      <c r="Y25" s="86"/>
      <c r="Z25" s="89"/>
      <c r="AA25" s="82"/>
      <c r="AB25" s="92"/>
      <c r="AC25" s="2"/>
      <c r="AD25" s="2"/>
      <c r="AE25" s="2"/>
      <c r="AF25" s="11"/>
      <c r="AG25" s="2"/>
      <c r="AH25" s="2"/>
      <c r="AI25" s="2"/>
      <c r="AJ25" s="2"/>
      <c r="AK25" s="2"/>
      <c r="AL25" s="2"/>
    </row>
    <row r="26" spans="1:38" ht="18" customHeight="1" x14ac:dyDescent="0.25">
      <c r="A26" s="2"/>
      <c r="B26" s="76"/>
      <c r="C26" s="79"/>
      <c r="D26" s="82"/>
      <c r="E26" s="45"/>
      <c r="F26" s="82"/>
      <c r="G26" s="82"/>
      <c r="H26" s="86"/>
      <c r="I26" s="79"/>
      <c r="J26" s="82"/>
      <c r="K26" s="95"/>
      <c r="L26" s="95"/>
      <c r="M26" s="39" t="s">
        <v>92</v>
      </c>
      <c r="N26" s="40" t="str">
        <f>IF(AND(K24="VERY LOW",J24="MODERATE")=TRUE,"X"," ")</f>
        <v xml:space="preserve"> </v>
      </c>
      <c r="O26" s="46" t="str">
        <f>IF(AND(K24="LOW",J24="MODERATE")=TRUE,"X"," ")</f>
        <v xml:space="preserve"> </v>
      </c>
      <c r="P26" s="41" t="str">
        <f>IF(AND(K24="MODERATE",J24="MODERATE")=TRUE,"X"," ")</f>
        <v xml:space="preserve"> </v>
      </c>
      <c r="Q26" s="42" t="str">
        <f>IF(AND(K24="HIGH",J24="MODERATE")=TRUE,"X"," ")</f>
        <v xml:space="preserve"> </v>
      </c>
      <c r="R26" s="42" t="str">
        <f>IF(AND(K24="VERY HIGH",J24="MODERATE")=TRUE,"X"," ")</f>
        <v xml:space="preserve"> </v>
      </c>
      <c r="S26" s="44" t="e">
        <f>IF(J24=#REF!,#REF!,0)</f>
        <v>#REF!</v>
      </c>
      <c r="T26" s="79"/>
      <c r="U26" s="95"/>
      <c r="V26" s="86"/>
      <c r="W26" s="79"/>
      <c r="X26" s="82"/>
      <c r="Y26" s="86"/>
      <c r="Z26" s="89"/>
      <c r="AA26" s="82"/>
      <c r="AB26" s="92"/>
      <c r="AC26" s="2"/>
      <c r="AD26" s="2"/>
      <c r="AE26" s="2"/>
      <c r="AF26" s="11"/>
      <c r="AG26" s="2"/>
      <c r="AH26" s="2"/>
      <c r="AI26" s="2"/>
      <c r="AJ26" s="2"/>
      <c r="AK26" s="2"/>
      <c r="AL26" s="2"/>
    </row>
    <row r="27" spans="1:38" ht="18" customHeight="1" x14ac:dyDescent="0.25">
      <c r="A27" s="2"/>
      <c r="B27" s="76"/>
      <c r="C27" s="79"/>
      <c r="D27" s="82"/>
      <c r="E27" s="47" t="s">
        <v>101</v>
      </c>
      <c r="F27" s="82"/>
      <c r="G27" s="82"/>
      <c r="H27" s="86"/>
      <c r="I27" s="79"/>
      <c r="J27" s="82"/>
      <c r="K27" s="95"/>
      <c r="L27" s="95"/>
      <c r="M27" s="39" t="s">
        <v>93</v>
      </c>
      <c r="N27" s="40" t="str">
        <f>IF(AND(K24="VERY LOW",J24="LOW")=TRUE,"X"," ")</f>
        <v xml:space="preserve"> </v>
      </c>
      <c r="O27" s="46" t="str">
        <f>IF(AND(K24="LOW",J24="LOW")=TRUE,"X"," ")</f>
        <v xml:space="preserve"> </v>
      </c>
      <c r="P27" s="41" t="str">
        <f>IF(AND(K24="MODERATE",J24="LOW")=TRUE,"X"," ")</f>
        <v xml:space="preserve"> </v>
      </c>
      <c r="Q27" s="42" t="str">
        <f>IF(AND(K24="HIGH",J24="LOW")=TRUE,"X"," ")</f>
        <v xml:space="preserve"> </v>
      </c>
      <c r="R27" s="42" t="str">
        <f>IF(AND(K24="VERY HIGH",J24="LOW")=TRUE,"X"," ")</f>
        <v xml:space="preserve"> </v>
      </c>
      <c r="S27" s="44" t="e">
        <f>IF(J24=#REF!,#REF!,0)</f>
        <v>#REF!</v>
      </c>
      <c r="T27" s="79"/>
      <c r="U27" s="95"/>
      <c r="V27" s="86"/>
      <c r="W27" s="79"/>
      <c r="X27" s="82"/>
      <c r="Y27" s="86"/>
      <c r="Z27" s="89"/>
      <c r="AA27" s="82"/>
      <c r="AB27" s="92"/>
      <c r="AC27" s="2"/>
      <c r="AD27" s="2"/>
      <c r="AE27" s="2"/>
      <c r="AF27" s="11" t="s">
        <v>107</v>
      </c>
      <c r="AG27" s="2"/>
      <c r="AH27" s="2"/>
      <c r="AI27" s="2"/>
      <c r="AJ27" s="2"/>
      <c r="AK27" s="2"/>
      <c r="AL27" s="2"/>
    </row>
    <row r="28" spans="1:38" ht="18" customHeight="1" x14ac:dyDescent="0.25">
      <c r="A28" s="1"/>
      <c r="B28" s="76"/>
      <c r="C28" s="79"/>
      <c r="D28" s="82"/>
      <c r="E28" s="105"/>
      <c r="F28" s="82"/>
      <c r="G28" s="82"/>
      <c r="H28" s="86"/>
      <c r="I28" s="79"/>
      <c r="J28" s="82"/>
      <c r="K28" s="95"/>
      <c r="L28" s="95"/>
      <c r="M28" s="39" t="s">
        <v>95</v>
      </c>
      <c r="N28" s="48" t="str">
        <f>IF(AND(K24="VERY LOW",J24="VERY LOW")=TRUE,"X"," ")</f>
        <v xml:space="preserve"> </v>
      </c>
      <c r="O28" s="49" t="str">
        <f>IF(AND(K24="LOW",J24="VERY LOW")=TRUE,"X"," ")</f>
        <v xml:space="preserve"> </v>
      </c>
      <c r="P28" s="49" t="str">
        <f>IF(AND(K24="MODERATE",J24="VERY LOW")=TRUE,"X"," ")</f>
        <v xml:space="preserve"> </v>
      </c>
      <c r="Q28" s="50" t="str">
        <f>IF(AND(K24="HIGH",J24="VERY LOW")=TRUE,"X"," ")</f>
        <v xml:space="preserve"> </v>
      </c>
      <c r="R28" s="51" t="str">
        <f>IF(AND(K24="VERY HIGH",J24="VERY LOW")=TRUE,"X"," ")</f>
        <v xml:space="preserve"> </v>
      </c>
      <c r="S28" s="2" t="e">
        <f>IF(J24=#REF!,#REF!,0)</f>
        <v>#REF!</v>
      </c>
      <c r="T28" s="79"/>
      <c r="U28" s="95"/>
      <c r="V28" s="86"/>
      <c r="W28" s="79"/>
      <c r="X28" s="82"/>
      <c r="Y28" s="86"/>
      <c r="Z28" s="89"/>
      <c r="AA28" s="82"/>
      <c r="AB28" s="92"/>
      <c r="AC28" s="1"/>
      <c r="AD28" s="1"/>
      <c r="AE28" s="1"/>
      <c r="AF28" s="11" t="s">
        <v>108</v>
      </c>
      <c r="AG28" s="1"/>
      <c r="AH28" s="1"/>
      <c r="AI28" s="1"/>
      <c r="AJ28" s="1"/>
      <c r="AK28" s="1"/>
      <c r="AL28" s="1"/>
    </row>
    <row r="29" spans="1:38" ht="14.25" customHeight="1" x14ac:dyDescent="0.25">
      <c r="A29" s="1"/>
      <c r="B29" s="76"/>
      <c r="C29" s="79"/>
      <c r="D29" s="82"/>
      <c r="E29" s="82"/>
      <c r="F29" s="82"/>
      <c r="G29" s="82"/>
      <c r="H29" s="86"/>
      <c r="I29" s="79"/>
      <c r="J29" s="82"/>
      <c r="K29" s="95"/>
      <c r="L29" s="38"/>
      <c r="M29" s="39"/>
      <c r="N29" s="39" t="s">
        <v>95</v>
      </c>
      <c r="O29" s="39" t="s">
        <v>93</v>
      </c>
      <c r="P29" s="39" t="s">
        <v>92</v>
      </c>
      <c r="Q29" s="39" t="s">
        <v>91</v>
      </c>
      <c r="R29" s="39" t="s">
        <v>87</v>
      </c>
      <c r="S29" s="44"/>
      <c r="T29" s="79"/>
      <c r="U29" s="95"/>
      <c r="V29" s="86"/>
      <c r="W29" s="79"/>
      <c r="X29" s="82"/>
      <c r="Y29" s="86"/>
      <c r="Z29" s="89"/>
      <c r="AA29" s="82"/>
      <c r="AB29" s="92"/>
      <c r="AC29" s="1"/>
      <c r="AD29" s="1"/>
      <c r="AE29" s="1"/>
      <c r="AF29" s="11" t="s">
        <v>109</v>
      </c>
      <c r="AG29" s="1"/>
      <c r="AH29" s="1"/>
      <c r="AI29" s="1"/>
      <c r="AJ29" s="1"/>
      <c r="AK29" s="1"/>
      <c r="AL29" s="1"/>
    </row>
    <row r="30" spans="1:38" ht="11.25" customHeight="1" x14ac:dyDescent="0.25">
      <c r="A30" s="1"/>
      <c r="B30" s="77"/>
      <c r="C30" s="80"/>
      <c r="D30" s="82"/>
      <c r="E30" s="84"/>
      <c r="F30" s="84"/>
      <c r="G30" s="84"/>
      <c r="H30" s="87"/>
      <c r="I30" s="80"/>
      <c r="J30" s="84"/>
      <c r="K30" s="96"/>
      <c r="L30" s="52"/>
      <c r="M30" s="53"/>
      <c r="N30" s="102" t="s">
        <v>23</v>
      </c>
      <c r="O30" s="103"/>
      <c r="P30" s="103"/>
      <c r="Q30" s="103"/>
      <c r="R30" s="103"/>
      <c r="S30" s="54"/>
      <c r="T30" s="80"/>
      <c r="U30" s="96"/>
      <c r="V30" s="87"/>
      <c r="W30" s="80"/>
      <c r="X30" s="84"/>
      <c r="Y30" s="87"/>
      <c r="Z30" s="90"/>
      <c r="AA30" s="84"/>
      <c r="AB30" s="93"/>
      <c r="AC30" s="1"/>
      <c r="AD30" s="1"/>
      <c r="AE30" s="1"/>
      <c r="AF30" s="11" t="s">
        <v>110</v>
      </c>
      <c r="AG30" s="1"/>
      <c r="AH30" s="1"/>
      <c r="AI30" s="1"/>
      <c r="AJ30" s="1"/>
      <c r="AK30" s="1"/>
      <c r="AL30" s="1"/>
    </row>
    <row r="31" spans="1:38" ht="6.75" customHeight="1" x14ac:dyDescent="0.25">
      <c r="A31" s="26"/>
      <c r="B31" s="55"/>
      <c r="C31" s="56"/>
      <c r="D31" s="57"/>
      <c r="E31" s="57"/>
      <c r="F31" s="57"/>
      <c r="G31" s="58" t="s">
        <v>111</v>
      </c>
      <c r="H31" s="59"/>
      <c r="I31" s="60"/>
      <c r="J31" s="61"/>
      <c r="K31" s="61"/>
      <c r="L31" s="62"/>
      <c r="M31" s="63"/>
      <c r="N31" s="62"/>
      <c r="O31" s="64"/>
      <c r="P31" s="64"/>
      <c r="Q31" s="64"/>
      <c r="R31" s="64"/>
      <c r="S31" s="65"/>
      <c r="T31" s="66"/>
      <c r="U31" s="67"/>
      <c r="V31" s="67"/>
      <c r="W31" s="68"/>
      <c r="X31" s="69"/>
      <c r="Y31" s="70"/>
      <c r="Z31" s="71"/>
      <c r="AA31" s="72"/>
      <c r="AB31" s="73"/>
      <c r="AC31" s="1"/>
      <c r="AD31" s="1"/>
      <c r="AE31" s="1"/>
      <c r="AF31" s="11" t="s">
        <v>112</v>
      </c>
      <c r="AG31" s="1"/>
      <c r="AH31" s="1"/>
      <c r="AI31" s="1"/>
      <c r="AJ31" s="1"/>
      <c r="AK31" s="1"/>
      <c r="AL31" s="1"/>
    </row>
    <row r="32" spans="1:38" ht="18" customHeight="1" x14ac:dyDescent="0.25">
      <c r="A32" s="2"/>
      <c r="B32" s="75">
        <v>3</v>
      </c>
      <c r="C32" s="78" t="s">
        <v>35</v>
      </c>
      <c r="D32" s="81" t="s">
        <v>113</v>
      </c>
      <c r="E32" s="104">
        <v>45234</v>
      </c>
      <c r="F32" s="106" t="s">
        <v>114</v>
      </c>
      <c r="G32" s="107" t="s">
        <v>102</v>
      </c>
      <c r="H32" s="108" t="s">
        <v>115</v>
      </c>
      <c r="I32" s="109" t="s">
        <v>54</v>
      </c>
      <c r="J32" s="81" t="s">
        <v>44</v>
      </c>
      <c r="K32" s="94" t="s">
        <v>38</v>
      </c>
      <c r="L32" s="97" t="s">
        <v>22</v>
      </c>
      <c r="M32" s="39" t="s">
        <v>87</v>
      </c>
      <c r="N32" s="40" t="str">
        <f>IF(AND(K32="VERY LOW",J32="VERY HIGH")=TRUE,"X"," ")</f>
        <v xml:space="preserve"> </v>
      </c>
      <c r="O32" s="41" t="str">
        <f>IF(AND(K32="LOW",J32="VERY HIGH")=TRUE,"X"," ")</f>
        <v xml:space="preserve"> </v>
      </c>
      <c r="P32" s="42" t="str">
        <f>IF(AND(K32="MODERATE",J32="VERY HIGH")=TRUE,"X"," ")</f>
        <v xml:space="preserve"> </v>
      </c>
      <c r="Q32" s="42" t="str">
        <f>IF(AND(K32="HIGH",J32="VERY HIGH")=TRUE,"X"," ")</f>
        <v xml:space="preserve"> </v>
      </c>
      <c r="R32" s="42" t="s">
        <v>116</v>
      </c>
      <c r="S32" s="43">
        <f>IF(J32=J18,T18,0)</f>
        <v>0</v>
      </c>
      <c r="T32" s="98">
        <v>0.9</v>
      </c>
      <c r="U32" s="99">
        <v>7</v>
      </c>
      <c r="V32" s="100">
        <v>7</v>
      </c>
      <c r="W32" s="101" t="s">
        <v>51</v>
      </c>
      <c r="X32" s="83" t="s">
        <v>117</v>
      </c>
      <c r="Y32" s="85"/>
      <c r="Z32" s="88" t="s">
        <v>105</v>
      </c>
      <c r="AA32" s="81" t="s">
        <v>143</v>
      </c>
      <c r="AB32" s="91"/>
      <c r="AC32" s="2"/>
      <c r="AD32" s="2"/>
      <c r="AE32" s="2"/>
      <c r="AF32" s="11" t="s">
        <v>118</v>
      </c>
      <c r="AG32" s="2"/>
      <c r="AH32" s="2"/>
      <c r="AI32" s="2"/>
      <c r="AJ32" s="2"/>
      <c r="AK32" s="2"/>
      <c r="AL32" s="2"/>
    </row>
    <row r="33" spans="1:38" ht="18" customHeight="1" x14ac:dyDescent="0.25">
      <c r="A33" s="2"/>
      <c r="B33" s="76"/>
      <c r="C33" s="79"/>
      <c r="D33" s="82"/>
      <c r="E33" s="82"/>
      <c r="F33" s="82"/>
      <c r="G33" s="82"/>
      <c r="H33" s="86"/>
      <c r="I33" s="79"/>
      <c r="J33" s="82"/>
      <c r="K33" s="95"/>
      <c r="L33" s="95"/>
      <c r="M33" s="39" t="s">
        <v>91</v>
      </c>
      <c r="N33" s="40" t="str">
        <f>IF(AND(K32="VERY LOW",J32="HIGH")=TRUE,"X"," ")</f>
        <v xml:space="preserve"> </v>
      </c>
      <c r="O33" s="41" t="str">
        <f>IF(AND(K32="LOW",J32="HIGH")=TRUE,"X"," ")</f>
        <v xml:space="preserve"> </v>
      </c>
      <c r="P33" s="42" t="str">
        <f>IF(AND(K32="MODERATE",J32="HIGH")=TRUE,"X"," ")</f>
        <v xml:space="preserve"> </v>
      </c>
      <c r="Q33" s="42" t="str">
        <f>IF(AND(K32="HIGH",J32="HIGH")=TRUE,"X"," ")</f>
        <v xml:space="preserve"> </v>
      </c>
      <c r="R33" s="42"/>
      <c r="S33" s="44">
        <f>IF(J32=J19,T19,0)</f>
        <v>0</v>
      </c>
      <c r="T33" s="79"/>
      <c r="U33" s="95"/>
      <c r="V33" s="86"/>
      <c r="W33" s="79"/>
      <c r="X33" s="82"/>
      <c r="Y33" s="86"/>
      <c r="Z33" s="89"/>
      <c r="AA33" s="82"/>
      <c r="AB33" s="92"/>
      <c r="AC33" s="2"/>
      <c r="AD33" s="2"/>
      <c r="AE33" s="2"/>
      <c r="AF33" s="11"/>
      <c r="AG33" s="2"/>
      <c r="AH33" s="2"/>
      <c r="AI33" s="2"/>
      <c r="AJ33" s="2"/>
      <c r="AK33" s="2"/>
      <c r="AL33" s="2"/>
    </row>
    <row r="34" spans="1:38" ht="18" customHeight="1" x14ac:dyDescent="0.25">
      <c r="A34" s="2"/>
      <c r="B34" s="76"/>
      <c r="C34" s="79"/>
      <c r="D34" s="82"/>
      <c r="E34" s="45"/>
      <c r="F34" s="82"/>
      <c r="G34" s="82"/>
      <c r="H34" s="86"/>
      <c r="I34" s="79"/>
      <c r="J34" s="82"/>
      <c r="K34" s="95"/>
      <c r="L34" s="95"/>
      <c r="M34" s="39" t="s">
        <v>92</v>
      </c>
      <c r="N34" s="40" t="str">
        <f>IF(AND(K32="VERY LOW",J32="MODERATE")=TRUE,"X"," ")</f>
        <v xml:space="preserve"> </v>
      </c>
      <c r="O34" s="46" t="str">
        <f>IF(AND(K32="LOW",J32="MODERATE")=TRUE,"X"," ")</f>
        <v xml:space="preserve"> </v>
      </c>
      <c r="P34" s="41" t="str">
        <f>IF(AND(K32="MODERATE",J32="MODERATE")=TRUE,"X"," ")</f>
        <v xml:space="preserve"> </v>
      </c>
      <c r="Q34" s="42" t="str">
        <f>IF(AND(K32="HIGH",J32="MODERATE")=TRUE,"X"," ")</f>
        <v xml:space="preserve"> </v>
      </c>
      <c r="R34" s="42" t="str">
        <f>IF(AND(K32="VERY HIGH",J32="MODERATE")=TRUE,"X"," ")</f>
        <v xml:space="preserve"> </v>
      </c>
      <c r="S34" s="44">
        <f>IF(J32=J20,T20,0)</f>
        <v>0</v>
      </c>
      <c r="T34" s="79"/>
      <c r="U34" s="95"/>
      <c r="V34" s="86"/>
      <c r="W34" s="79"/>
      <c r="X34" s="82"/>
      <c r="Y34" s="86"/>
      <c r="Z34" s="89"/>
      <c r="AA34" s="82"/>
      <c r="AB34" s="92"/>
      <c r="AC34" s="2"/>
      <c r="AD34" s="2"/>
      <c r="AE34" s="2"/>
      <c r="AF34" s="11"/>
      <c r="AG34" s="2"/>
      <c r="AH34" s="2"/>
      <c r="AI34" s="2"/>
      <c r="AJ34" s="2"/>
      <c r="AK34" s="2"/>
      <c r="AL34" s="2"/>
    </row>
    <row r="35" spans="1:38" ht="18" customHeight="1" x14ac:dyDescent="0.25">
      <c r="A35" s="2"/>
      <c r="B35" s="76"/>
      <c r="C35" s="79"/>
      <c r="D35" s="82"/>
      <c r="E35" s="74" t="s">
        <v>101</v>
      </c>
      <c r="F35" s="82"/>
      <c r="G35" s="82"/>
      <c r="H35" s="86"/>
      <c r="I35" s="79"/>
      <c r="J35" s="82"/>
      <c r="K35" s="95"/>
      <c r="L35" s="95"/>
      <c r="M35" s="39" t="s">
        <v>93</v>
      </c>
      <c r="N35" s="40" t="str">
        <f>IF(AND(K32="VERY LOW",J32="LOW")=TRUE,"X"," ")</f>
        <v xml:space="preserve"> </v>
      </c>
      <c r="O35" s="46" t="str">
        <f>IF(AND(K32="LOW",J32="LOW")=TRUE,"X"," ")</f>
        <v xml:space="preserve"> </v>
      </c>
      <c r="P35" s="41" t="str">
        <f>IF(AND(K32="MODERATE",J32="LOW")=TRUE,"X"," ")</f>
        <v xml:space="preserve"> </v>
      </c>
      <c r="Q35" s="42" t="str">
        <f>IF(AND(K32="HIGH",J32="LOW")=TRUE,"X"," ")</f>
        <v xml:space="preserve"> </v>
      </c>
      <c r="R35" s="42" t="str">
        <f>IF(AND(K32="VERY HIGH",J32="LOW")=TRUE,"X"," ")</f>
        <v xml:space="preserve"> </v>
      </c>
      <c r="S35" s="44">
        <f>IF(J32=J21,T21,0)</f>
        <v>0</v>
      </c>
      <c r="T35" s="79"/>
      <c r="U35" s="95"/>
      <c r="V35" s="86"/>
      <c r="W35" s="79"/>
      <c r="X35" s="82"/>
      <c r="Y35" s="86"/>
      <c r="Z35" s="89"/>
      <c r="AA35" s="82"/>
      <c r="AB35" s="92"/>
      <c r="AC35" s="2"/>
      <c r="AD35" s="2"/>
      <c r="AE35" s="2"/>
      <c r="AF35" s="11" t="s">
        <v>119</v>
      </c>
      <c r="AG35" s="2"/>
      <c r="AH35" s="2"/>
      <c r="AI35" s="2"/>
      <c r="AJ35" s="2"/>
      <c r="AK35" s="2"/>
      <c r="AL35" s="2"/>
    </row>
    <row r="36" spans="1:38" ht="18" customHeight="1" x14ac:dyDescent="0.25">
      <c r="A36" s="1"/>
      <c r="B36" s="76"/>
      <c r="C36" s="79"/>
      <c r="D36" s="82"/>
      <c r="E36" s="105"/>
      <c r="F36" s="82"/>
      <c r="G36" s="82"/>
      <c r="H36" s="86"/>
      <c r="I36" s="79"/>
      <c r="J36" s="82"/>
      <c r="K36" s="95"/>
      <c r="L36" s="95"/>
      <c r="M36" s="39" t="s">
        <v>95</v>
      </c>
      <c r="N36" s="48" t="str">
        <f>IF(AND(K32="VERY LOW",J32="VERY LOW")=TRUE,"X"," ")</f>
        <v xml:space="preserve"> </v>
      </c>
      <c r="O36" s="49" t="str">
        <f>IF(AND(K32="LOW",J32="VERY LOW")=TRUE,"X"," ")</f>
        <v xml:space="preserve"> </v>
      </c>
      <c r="P36" s="49" t="str">
        <f>IF(AND(K32="MODERATE",J32="VERY LOW")=TRUE,"X"," ")</f>
        <v xml:space="preserve"> </v>
      </c>
      <c r="Q36" s="50" t="str">
        <f>IF(AND(K32="HIGH",J32="VERY LOW")=TRUE,"X"," ")</f>
        <v xml:space="preserve"> </v>
      </c>
      <c r="R36" s="51" t="str">
        <f>IF(AND(K32="VERY HIGH",J32="VERY LOW")=TRUE,"X"," ")</f>
        <v xml:space="preserve"> </v>
      </c>
      <c r="S36" s="2">
        <f>IF(J32=J22,T22,0)</f>
        <v>0</v>
      </c>
      <c r="T36" s="79"/>
      <c r="U36" s="95"/>
      <c r="V36" s="86"/>
      <c r="W36" s="79"/>
      <c r="X36" s="82"/>
      <c r="Y36" s="86"/>
      <c r="Z36" s="89"/>
      <c r="AA36" s="82"/>
      <c r="AB36" s="92"/>
      <c r="AC36" s="1"/>
      <c r="AD36" s="1"/>
      <c r="AE36" s="1"/>
      <c r="AF36" s="11" t="s">
        <v>120</v>
      </c>
      <c r="AG36" s="1"/>
      <c r="AH36" s="1"/>
      <c r="AI36" s="1"/>
      <c r="AJ36" s="1"/>
      <c r="AK36" s="1"/>
      <c r="AL36" s="1"/>
    </row>
    <row r="37" spans="1:38" ht="14.25" customHeight="1" x14ac:dyDescent="0.25">
      <c r="A37" s="1"/>
      <c r="B37" s="76"/>
      <c r="C37" s="79"/>
      <c r="D37" s="82"/>
      <c r="E37" s="82"/>
      <c r="F37" s="82"/>
      <c r="G37" s="82"/>
      <c r="H37" s="86"/>
      <c r="I37" s="79"/>
      <c r="J37" s="82"/>
      <c r="K37" s="95"/>
      <c r="L37" s="38"/>
      <c r="M37" s="39"/>
      <c r="N37" s="39" t="s">
        <v>95</v>
      </c>
      <c r="O37" s="39" t="s">
        <v>93</v>
      </c>
      <c r="P37" s="39" t="s">
        <v>92</v>
      </c>
      <c r="Q37" s="39" t="s">
        <v>91</v>
      </c>
      <c r="R37" s="39" t="s">
        <v>87</v>
      </c>
      <c r="S37" s="44"/>
      <c r="T37" s="79"/>
      <c r="U37" s="95"/>
      <c r="V37" s="86"/>
      <c r="W37" s="79"/>
      <c r="X37" s="82"/>
      <c r="Y37" s="86"/>
      <c r="Z37" s="89"/>
      <c r="AA37" s="82"/>
      <c r="AB37" s="92"/>
      <c r="AC37" s="1"/>
      <c r="AD37" s="1"/>
      <c r="AE37" s="1"/>
      <c r="AF37" s="11" t="s">
        <v>121</v>
      </c>
      <c r="AG37" s="1"/>
      <c r="AH37" s="1"/>
      <c r="AI37" s="1"/>
      <c r="AJ37" s="1"/>
      <c r="AK37" s="1"/>
      <c r="AL37" s="1"/>
    </row>
    <row r="38" spans="1:38" ht="11.25" customHeight="1" x14ac:dyDescent="0.25">
      <c r="A38" s="1"/>
      <c r="B38" s="77"/>
      <c r="C38" s="80"/>
      <c r="D38" s="82"/>
      <c r="E38" s="84"/>
      <c r="F38" s="84"/>
      <c r="G38" s="84"/>
      <c r="H38" s="87"/>
      <c r="I38" s="80"/>
      <c r="J38" s="84"/>
      <c r="K38" s="96"/>
      <c r="L38" s="52"/>
      <c r="M38" s="53"/>
      <c r="N38" s="102" t="s">
        <v>23</v>
      </c>
      <c r="O38" s="103"/>
      <c r="P38" s="103"/>
      <c r="Q38" s="103"/>
      <c r="R38" s="103"/>
      <c r="S38" s="54"/>
      <c r="T38" s="80"/>
      <c r="U38" s="96"/>
      <c r="V38" s="87"/>
      <c r="W38" s="80"/>
      <c r="X38" s="84"/>
      <c r="Y38" s="87"/>
      <c r="Z38" s="90"/>
      <c r="AA38" s="84"/>
      <c r="AB38" s="93"/>
      <c r="AC38" s="1"/>
      <c r="AD38" s="1"/>
      <c r="AE38" s="1"/>
      <c r="AF38" s="11" t="s">
        <v>122</v>
      </c>
      <c r="AG38" s="1"/>
      <c r="AH38" s="1"/>
      <c r="AI38" s="1"/>
      <c r="AJ38" s="1"/>
      <c r="AK38" s="1"/>
      <c r="AL38" s="1"/>
    </row>
    <row r="39" spans="1:38" ht="6.75" customHeight="1" x14ac:dyDescent="0.25">
      <c r="A39" s="26"/>
      <c r="B39" s="55"/>
      <c r="C39" s="56"/>
      <c r="D39" s="57"/>
      <c r="E39" s="57"/>
      <c r="F39" s="57"/>
      <c r="G39" s="58"/>
      <c r="H39" s="59"/>
      <c r="I39" s="60"/>
      <c r="J39" s="61"/>
      <c r="K39" s="61"/>
      <c r="L39" s="62"/>
      <c r="M39" s="63"/>
      <c r="N39" s="62"/>
      <c r="O39" s="64"/>
      <c r="P39" s="64"/>
      <c r="Q39" s="64"/>
      <c r="R39" s="64"/>
      <c r="S39" s="65"/>
      <c r="T39" s="66"/>
      <c r="U39" s="67"/>
      <c r="V39" s="67"/>
      <c r="W39" s="68"/>
      <c r="X39" s="69"/>
      <c r="Y39" s="70"/>
      <c r="Z39" s="71"/>
      <c r="AA39" s="72"/>
      <c r="AB39" s="73"/>
      <c r="AC39" s="1"/>
      <c r="AD39" s="1"/>
      <c r="AE39" s="1"/>
      <c r="AF39" s="11" t="s">
        <v>123</v>
      </c>
      <c r="AG39" s="1"/>
      <c r="AH39" s="1"/>
      <c r="AI39" s="1"/>
      <c r="AJ39" s="1"/>
      <c r="AK39" s="1"/>
      <c r="AL39" s="1"/>
    </row>
    <row r="40" spans="1:38" ht="18" customHeight="1" x14ac:dyDescent="0.25">
      <c r="A40" s="2"/>
      <c r="B40" s="75">
        <v>4</v>
      </c>
      <c r="C40" s="78" t="s">
        <v>35</v>
      </c>
      <c r="D40" s="81" t="s">
        <v>124</v>
      </c>
      <c r="E40" s="104">
        <v>45244</v>
      </c>
      <c r="F40" s="106" t="s">
        <v>141</v>
      </c>
      <c r="G40" s="107" t="s">
        <v>141</v>
      </c>
      <c r="H40" s="108" t="s">
        <v>142</v>
      </c>
      <c r="I40" s="109" t="s">
        <v>49</v>
      </c>
      <c r="J40" s="81" t="s">
        <v>44</v>
      </c>
      <c r="K40" s="94" t="s">
        <v>44</v>
      </c>
      <c r="L40" s="97" t="s">
        <v>22</v>
      </c>
      <c r="M40" s="39" t="s">
        <v>87</v>
      </c>
      <c r="N40" s="40" t="str">
        <f>IF(AND(K40="VERY LOW",J40="VERY HIGH")=TRUE,"X"," ")</f>
        <v xml:space="preserve"> </v>
      </c>
      <c r="O40" s="41" t="str">
        <f>IF(AND(K40="LOW",J40="VERY HIGH")=TRUE,"X"," ")</f>
        <v xml:space="preserve"> </v>
      </c>
      <c r="P40" s="42" t="str">
        <f>IF(AND(K40="MODERATE",J40="VERY HIGH")=TRUE,"X"," ")</f>
        <v xml:space="preserve"> </v>
      </c>
      <c r="Q40" s="42" t="str">
        <f>IF(AND(K40="HIGH",J40="VERY HIGH")=TRUE,"X"," ")</f>
        <v xml:space="preserve"> </v>
      </c>
      <c r="R40" s="42" t="str">
        <f>IF(AND(K40="VERY HIGH",J40="VERY HIGH")=TRUE,"X"," ")</f>
        <v xml:space="preserve"> </v>
      </c>
      <c r="S40" s="43">
        <f>IF(J40=J26,T26,0)</f>
        <v>0</v>
      </c>
      <c r="T40" s="98">
        <v>0.7</v>
      </c>
      <c r="U40" s="99">
        <v>5</v>
      </c>
      <c r="V40" s="100">
        <v>5</v>
      </c>
      <c r="W40" s="101" t="s">
        <v>51</v>
      </c>
      <c r="X40" s="83" t="s">
        <v>125</v>
      </c>
      <c r="Y40" s="85"/>
      <c r="Z40" s="88" t="s">
        <v>145</v>
      </c>
      <c r="AA40" s="81" t="s">
        <v>144</v>
      </c>
      <c r="AB40" s="91"/>
      <c r="AC40" s="2"/>
      <c r="AD40" s="2"/>
      <c r="AE40" s="2"/>
      <c r="AF40" s="11" t="s">
        <v>126</v>
      </c>
      <c r="AG40" s="2"/>
      <c r="AH40" s="2"/>
      <c r="AI40" s="2"/>
      <c r="AJ40" s="2"/>
      <c r="AK40" s="2"/>
      <c r="AL40" s="2"/>
    </row>
    <row r="41" spans="1:38" ht="18" customHeight="1" x14ac:dyDescent="0.25">
      <c r="A41" s="2"/>
      <c r="B41" s="76"/>
      <c r="C41" s="79"/>
      <c r="D41" s="82"/>
      <c r="E41" s="82"/>
      <c r="F41" s="82"/>
      <c r="G41" s="82"/>
      <c r="H41" s="86"/>
      <c r="I41" s="79"/>
      <c r="J41" s="82"/>
      <c r="K41" s="95"/>
      <c r="L41" s="95"/>
      <c r="M41" s="39" t="s">
        <v>91</v>
      </c>
      <c r="N41" s="40" t="str">
        <f>IF(AND(K40="VERY LOW",J40="HIGH")=TRUE,"X"," ")</f>
        <v xml:space="preserve"> </v>
      </c>
      <c r="O41" s="41" t="str">
        <f>IF(AND(K40="LOW",J40="HIGH")=TRUE,"X"," ")</f>
        <v xml:space="preserve"> </v>
      </c>
      <c r="P41" s="42" t="str">
        <f>IF(AND(K40="MODERATE",J40="HIGH")=TRUE,"X"," ")</f>
        <v xml:space="preserve"> </v>
      </c>
      <c r="Q41" s="42"/>
      <c r="R41" s="42" t="s">
        <v>116</v>
      </c>
      <c r="S41" s="44">
        <f>IF(J40=J27,T27,0)</f>
        <v>0</v>
      </c>
      <c r="T41" s="79"/>
      <c r="U41" s="95"/>
      <c r="V41" s="86"/>
      <c r="W41" s="79"/>
      <c r="X41" s="82"/>
      <c r="Y41" s="86"/>
      <c r="Z41" s="89"/>
      <c r="AA41" s="82"/>
      <c r="AB41" s="92"/>
      <c r="AC41" s="2"/>
      <c r="AD41" s="2"/>
      <c r="AE41" s="2"/>
      <c r="AF41" s="11"/>
      <c r="AG41" s="2"/>
      <c r="AH41" s="2"/>
      <c r="AI41" s="2"/>
      <c r="AJ41" s="2"/>
      <c r="AK41" s="2"/>
      <c r="AL41" s="2"/>
    </row>
    <row r="42" spans="1:38" ht="18" customHeight="1" x14ac:dyDescent="0.25">
      <c r="A42" s="2"/>
      <c r="B42" s="76"/>
      <c r="C42" s="79"/>
      <c r="D42" s="82"/>
      <c r="E42" s="45"/>
      <c r="F42" s="82"/>
      <c r="G42" s="82"/>
      <c r="H42" s="86"/>
      <c r="I42" s="79"/>
      <c r="J42" s="82"/>
      <c r="K42" s="95"/>
      <c r="L42" s="95"/>
      <c r="M42" s="39" t="s">
        <v>92</v>
      </c>
      <c r="N42" s="40" t="str">
        <f>IF(AND(K40="VERY LOW",J40="MODERATE")=TRUE,"X"," ")</f>
        <v xml:space="preserve"> </v>
      </c>
      <c r="O42" s="46" t="str">
        <f>IF(AND(K40="LOW",J40="MODERATE")=TRUE,"X"," ")</f>
        <v xml:space="preserve"> </v>
      </c>
      <c r="P42" s="41" t="str">
        <f>IF(AND(K40="MODERATE",J40="MODERATE")=TRUE,"X"," ")</f>
        <v xml:space="preserve"> </v>
      </c>
      <c r="Q42" s="42" t="str">
        <f>IF(AND(K40="HIGH",J40="MODERATE")=TRUE,"X"," ")</f>
        <v xml:space="preserve"> </v>
      </c>
      <c r="R42" s="42" t="str">
        <f>IF(AND(K40="VERY HIGH",J40="MODERATE")=TRUE,"X"," ")</f>
        <v xml:space="preserve"> </v>
      </c>
      <c r="S42" s="44">
        <f>IF(J40=J28,T28,0)</f>
        <v>0</v>
      </c>
      <c r="T42" s="79"/>
      <c r="U42" s="95"/>
      <c r="V42" s="86"/>
      <c r="W42" s="79"/>
      <c r="X42" s="82"/>
      <c r="Y42" s="86"/>
      <c r="Z42" s="89"/>
      <c r="AA42" s="82"/>
      <c r="AB42" s="92"/>
      <c r="AC42" s="2"/>
      <c r="AD42" s="2"/>
      <c r="AE42" s="2"/>
      <c r="AF42" s="11"/>
      <c r="AG42" s="2"/>
      <c r="AH42" s="2"/>
      <c r="AI42" s="2"/>
      <c r="AJ42" s="2"/>
      <c r="AK42" s="2"/>
      <c r="AL42" s="2"/>
    </row>
    <row r="43" spans="1:38" ht="18" customHeight="1" x14ac:dyDescent="0.25">
      <c r="A43" s="2"/>
      <c r="B43" s="76"/>
      <c r="C43" s="79"/>
      <c r="D43" s="82"/>
      <c r="E43" s="47" t="s">
        <v>141</v>
      </c>
      <c r="F43" s="82"/>
      <c r="G43" s="82"/>
      <c r="H43" s="86"/>
      <c r="I43" s="79"/>
      <c r="J43" s="82"/>
      <c r="K43" s="95"/>
      <c r="L43" s="95"/>
      <c r="M43" s="39" t="s">
        <v>93</v>
      </c>
      <c r="N43" s="40" t="str">
        <f>IF(AND(K40="VERY LOW",J40="LOW")=TRUE,"X"," ")</f>
        <v xml:space="preserve"> </v>
      </c>
      <c r="O43" s="46" t="str">
        <f>IF(AND(K40="LOW",J40="LOW")=TRUE,"X"," ")</f>
        <v xml:space="preserve"> </v>
      </c>
      <c r="P43" s="41" t="str">
        <f>IF(AND(K40="MODERATE",J40="LOW")=TRUE,"X"," ")</f>
        <v xml:space="preserve"> </v>
      </c>
      <c r="Q43" s="42" t="str">
        <f>IF(AND(K40="HIGH",J40="LOW")=TRUE,"X"," ")</f>
        <v xml:space="preserve"> </v>
      </c>
      <c r="R43" s="42" t="str">
        <f>IF(AND(K40="VERY HIGH",J40="LOW")=TRUE,"X"," ")</f>
        <v xml:space="preserve"> </v>
      </c>
      <c r="S43" s="44">
        <f>IF(J40=J29,T29,0)</f>
        <v>0</v>
      </c>
      <c r="T43" s="79"/>
      <c r="U43" s="95"/>
      <c r="V43" s="86"/>
      <c r="W43" s="79"/>
      <c r="X43" s="82"/>
      <c r="Y43" s="86"/>
      <c r="Z43" s="89"/>
      <c r="AA43" s="82"/>
      <c r="AB43" s="92"/>
      <c r="AC43" s="2"/>
      <c r="AD43" s="2"/>
      <c r="AE43" s="2"/>
      <c r="AF43" s="11" t="s">
        <v>127</v>
      </c>
      <c r="AG43" s="2"/>
      <c r="AH43" s="2"/>
      <c r="AI43" s="2"/>
      <c r="AJ43" s="2"/>
      <c r="AK43" s="2"/>
      <c r="AL43" s="2"/>
    </row>
    <row r="44" spans="1:38" ht="18" customHeight="1" x14ac:dyDescent="0.25">
      <c r="A44" s="1"/>
      <c r="B44" s="76"/>
      <c r="C44" s="79"/>
      <c r="D44" s="82"/>
      <c r="E44" s="105"/>
      <c r="F44" s="82"/>
      <c r="G44" s="82"/>
      <c r="H44" s="86"/>
      <c r="I44" s="79"/>
      <c r="J44" s="82"/>
      <c r="K44" s="95"/>
      <c r="L44" s="95"/>
      <c r="M44" s="39" t="s">
        <v>95</v>
      </c>
      <c r="N44" s="48" t="str">
        <f>IF(AND(K40="VERY LOW",J40="VERY LOW")=TRUE,"X"," ")</f>
        <v xml:space="preserve"> </v>
      </c>
      <c r="O44" s="49" t="str">
        <f>IF(AND(K40="LOW",J40="VERY LOW")=TRUE,"X"," ")</f>
        <v xml:space="preserve"> </v>
      </c>
      <c r="P44" s="49" t="str">
        <f>IF(AND(K40="MODERATE",J40="VERY LOW")=TRUE,"X"," ")</f>
        <v xml:space="preserve"> </v>
      </c>
      <c r="Q44" s="50" t="str">
        <f>IF(AND(K40="HIGH",J40="VERY LOW")=TRUE,"X"," ")</f>
        <v xml:space="preserve"> </v>
      </c>
      <c r="R44" s="51" t="str">
        <f>IF(AND(K40="VERY HIGH",J40="VERY LOW")=TRUE,"X"," ")</f>
        <v xml:space="preserve"> </v>
      </c>
      <c r="S44" s="2">
        <f>IF(J40=J30,T30,0)</f>
        <v>0</v>
      </c>
      <c r="T44" s="79"/>
      <c r="U44" s="95"/>
      <c r="V44" s="86"/>
      <c r="W44" s="79"/>
      <c r="X44" s="82"/>
      <c r="Y44" s="86"/>
      <c r="Z44" s="89"/>
      <c r="AA44" s="82"/>
      <c r="AB44" s="92"/>
      <c r="AC44" s="1"/>
      <c r="AD44" s="1"/>
      <c r="AE44" s="1"/>
      <c r="AF44" s="11" t="s">
        <v>128</v>
      </c>
      <c r="AG44" s="1"/>
      <c r="AH44" s="1"/>
      <c r="AI44" s="1"/>
      <c r="AJ44" s="1"/>
      <c r="AK44" s="1"/>
      <c r="AL44" s="1"/>
    </row>
    <row r="45" spans="1:38" ht="14.25" customHeight="1" x14ac:dyDescent="0.25">
      <c r="A45" s="1"/>
      <c r="B45" s="76"/>
      <c r="C45" s="79"/>
      <c r="D45" s="82"/>
      <c r="E45" s="82"/>
      <c r="F45" s="82"/>
      <c r="G45" s="82"/>
      <c r="H45" s="86"/>
      <c r="I45" s="79"/>
      <c r="J45" s="82"/>
      <c r="K45" s="95"/>
      <c r="L45" s="38"/>
      <c r="M45" s="39"/>
      <c r="N45" s="39" t="s">
        <v>95</v>
      </c>
      <c r="O45" s="39" t="s">
        <v>93</v>
      </c>
      <c r="P45" s="39" t="s">
        <v>92</v>
      </c>
      <c r="Q45" s="39" t="s">
        <v>91</v>
      </c>
      <c r="R45" s="39" t="s">
        <v>87</v>
      </c>
      <c r="S45" s="44"/>
      <c r="T45" s="79"/>
      <c r="U45" s="95"/>
      <c r="V45" s="86"/>
      <c r="W45" s="79"/>
      <c r="X45" s="82"/>
      <c r="Y45" s="86"/>
      <c r="Z45" s="89"/>
      <c r="AA45" s="82"/>
      <c r="AB45" s="92"/>
      <c r="AC45" s="1"/>
      <c r="AD45" s="1"/>
      <c r="AE45" s="1"/>
      <c r="AF45" s="11" t="s">
        <v>129</v>
      </c>
      <c r="AG45" s="1"/>
      <c r="AH45" s="1"/>
      <c r="AI45" s="1"/>
      <c r="AJ45" s="1"/>
      <c r="AK45" s="1"/>
      <c r="AL45" s="1"/>
    </row>
    <row r="46" spans="1:38" ht="11.25" customHeight="1" x14ac:dyDescent="0.25">
      <c r="A46" s="1"/>
      <c r="B46" s="77"/>
      <c r="C46" s="80"/>
      <c r="D46" s="82"/>
      <c r="E46" s="84"/>
      <c r="F46" s="84"/>
      <c r="G46" s="84"/>
      <c r="H46" s="87"/>
      <c r="I46" s="80"/>
      <c r="J46" s="84"/>
      <c r="K46" s="96"/>
      <c r="L46" s="52"/>
      <c r="M46" s="53"/>
      <c r="N46" s="102" t="s">
        <v>23</v>
      </c>
      <c r="O46" s="103"/>
      <c r="P46" s="103"/>
      <c r="Q46" s="103"/>
      <c r="R46" s="103"/>
      <c r="S46" s="54"/>
      <c r="T46" s="80"/>
      <c r="U46" s="96"/>
      <c r="V46" s="87"/>
      <c r="W46" s="80"/>
      <c r="X46" s="84"/>
      <c r="Y46" s="87"/>
      <c r="Z46" s="90"/>
      <c r="AA46" s="84"/>
      <c r="AB46" s="93"/>
      <c r="AC46" s="1"/>
      <c r="AD46" s="1"/>
      <c r="AE46" s="1"/>
      <c r="AF46" s="11" t="s">
        <v>130</v>
      </c>
      <c r="AG46" s="1"/>
      <c r="AH46" s="1"/>
      <c r="AI46" s="1"/>
      <c r="AJ46" s="1"/>
      <c r="AK46" s="1"/>
      <c r="AL46" s="1"/>
    </row>
    <row r="47" spans="1:38" ht="6.75" customHeight="1" x14ac:dyDescent="0.25">
      <c r="A47" s="26"/>
      <c r="B47" s="55"/>
      <c r="C47" s="56"/>
      <c r="D47" s="57"/>
      <c r="E47" s="57"/>
      <c r="F47" s="57"/>
      <c r="G47" s="58"/>
      <c r="H47" s="59"/>
      <c r="I47" s="60"/>
      <c r="J47" s="61"/>
      <c r="K47" s="61"/>
      <c r="L47" s="62"/>
      <c r="M47" s="63"/>
      <c r="N47" s="62"/>
      <c r="O47" s="64"/>
      <c r="P47" s="64"/>
      <c r="Q47" s="64"/>
      <c r="R47" s="64"/>
      <c r="S47" s="65"/>
      <c r="T47" s="66"/>
      <c r="U47" s="67"/>
      <c r="V47" s="67"/>
      <c r="W47" s="68"/>
      <c r="X47" s="69"/>
      <c r="Y47" s="70"/>
      <c r="Z47" s="71"/>
      <c r="AA47" s="72"/>
      <c r="AB47" s="73"/>
      <c r="AC47" s="1"/>
      <c r="AD47" s="1"/>
      <c r="AE47" s="1"/>
      <c r="AF47" s="11" t="s">
        <v>131</v>
      </c>
      <c r="AG47" s="1"/>
      <c r="AH47" s="1"/>
      <c r="AI47" s="1"/>
      <c r="AJ47" s="1"/>
      <c r="AK47" s="1"/>
      <c r="AL47" s="1"/>
    </row>
    <row r="48" spans="1:38" ht="18" customHeight="1" x14ac:dyDescent="0.25">
      <c r="A48" s="2"/>
      <c r="B48" s="75">
        <v>5</v>
      </c>
      <c r="C48" s="78" t="s">
        <v>35</v>
      </c>
      <c r="D48" s="81" t="s">
        <v>132</v>
      </c>
      <c r="E48" s="104">
        <v>42982</v>
      </c>
      <c r="F48" s="106" t="s">
        <v>133</v>
      </c>
      <c r="G48" s="107" t="s">
        <v>141</v>
      </c>
      <c r="H48" s="108" t="s">
        <v>146</v>
      </c>
      <c r="I48" s="109" t="s">
        <v>49</v>
      </c>
      <c r="J48" s="81" t="s">
        <v>50</v>
      </c>
      <c r="K48" s="94" t="s">
        <v>44</v>
      </c>
      <c r="L48" s="97" t="s">
        <v>22</v>
      </c>
      <c r="M48" s="39" t="s">
        <v>87</v>
      </c>
      <c r="N48" s="40" t="str">
        <f>IF(AND(K48="VERY LOW",J48="VERY HIGH")=TRUE,"X"," ")</f>
        <v xml:space="preserve"> </v>
      </c>
      <c r="O48" s="41" t="str">
        <f>IF(AND(K48="LOW",J48="VERY HIGH")=TRUE,"X"," ")</f>
        <v xml:space="preserve"> </v>
      </c>
      <c r="P48" s="42" t="str">
        <f>IF(AND(K48="MODERATE",J48="VERY HIGH")=TRUE,"X"," ")</f>
        <v xml:space="preserve"> </v>
      </c>
      <c r="Q48" s="42" t="str">
        <f>IF(AND(K48="HIGH",J48="VERY HIGH")=TRUE,"X"," ")</f>
        <v xml:space="preserve"> </v>
      </c>
      <c r="R48" s="42" t="str">
        <f>IF(AND(K48="VERY HIGH",J48="VERY HIGH")=TRUE,"X"," ")</f>
        <v xml:space="preserve"> </v>
      </c>
      <c r="S48" s="43">
        <f>IF(J48=J34,T34,0)</f>
        <v>0</v>
      </c>
      <c r="T48" s="98">
        <v>0.6</v>
      </c>
      <c r="U48" s="99">
        <v>5</v>
      </c>
      <c r="V48" s="100">
        <v>3</v>
      </c>
      <c r="W48" s="101" t="s">
        <v>51</v>
      </c>
      <c r="X48" s="83" t="s">
        <v>125</v>
      </c>
      <c r="Y48" s="85"/>
      <c r="Z48" s="88" t="s">
        <v>145</v>
      </c>
      <c r="AA48" s="81" t="s">
        <v>147</v>
      </c>
      <c r="AB48" s="91"/>
      <c r="AC48" s="2"/>
      <c r="AD48" s="2"/>
      <c r="AE48" s="2"/>
      <c r="AF48" s="11" t="s">
        <v>134</v>
      </c>
      <c r="AG48" s="2"/>
      <c r="AH48" s="2"/>
      <c r="AI48" s="2"/>
      <c r="AJ48" s="2"/>
      <c r="AK48" s="2"/>
      <c r="AL48" s="2"/>
    </row>
    <row r="49" spans="1:38" ht="18" customHeight="1" x14ac:dyDescent="0.25">
      <c r="A49" s="2"/>
      <c r="B49" s="76"/>
      <c r="C49" s="79"/>
      <c r="D49" s="82"/>
      <c r="E49" s="82"/>
      <c r="F49" s="82"/>
      <c r="G49" s="82"/>
      <c r="H49" s="86"/>
      <c r="I49" s="79"/>
      <c r="J49" s="82"/>
      <c r="K49" s="95"/>
      <c r="L49" s="95"/>
      <c r="M49" s="39" t="s">
        <v>91</v>
      </c>
      <c r="N49" s="40" t="str">
        <f>IF(AND(K48="VERY LOW",J48="HIGH")=TRUE,"X"," ")</f>
        <v xml:space="preserve"> </v>
      </c>
      <c r="O49" s="41" t="str">
        <f>IF(AND(K48="LOW",J48="HIGH")=TRUE,"X"," ")</f>
        <v xml:space="preserve"> </v>
      </c>
      <c r="P49" s="42" t="str">
        <f>IF(AND(K48="MODERATE",J48="HIGH")=TRUE,"X"," ")</f>
        <v xml:space="preserve"> </v>
      </c>
      <c r="Q49" s="42" t="str">
        <f>IF(AND(K48="HIGH",J48="HIGH")=TRUE,"X"," ")</f>
        <v xml:space="preserve"> </v>
      </c>
      <c r="R49" s="42" t="str">
        <f>IF(AND(K48="VERY HIGH",J48="HIGH")=TRUE,"X"," ")</f>
        <v xml:space="preserve"> </v>
      </c>
      <c r="S49" s="44">
        <f>IF(J48=J35,T35,0)</f>
        <v>0</v>
      </c>
      <c r="T49" s="79"/>
      <c r="U49" s="95"/>
      <c r="V49" s="86"/>
      <c r="W49" s="79"/>
      <c r="X49" s="82"/>
      <c r="Y49" s="86"/>
      <c r="Z49" s="89"/>
      <c r="AA49" s="82"/>
      <c r="AB49" s="92"/>
      <c r="AC49" s="2"/>
      <c r="AD49" s="2"/>
      <c r="AE49" s="2"/>
      <c r="AF49" s="11"/>
      <c r="AG49" s="2"/>
      <c r="AH49" s="2"/>
      <c r="AI49" s="2"/>
      <c r="AJ49" s="2"/>
      <c r="AK49" s="2"/>
      <c r="AL49" s="2"/>
    </row>
    <row r="50" spans="1:38" ht="18" customHeight="1" x14ac:dyDescent="0.25">
      <c r="A50" s="2"/>
      <c r="B50" s="76"/>
      <c r="C50" s="79"/>
      <c r="D50" s="82"/>
      <c r="E50" s="45"/>
      <c r="F50" s="82"/>
      <c r="G50" s="82"/>
      <c r="H50" s="86"/>
      <c r="I50" s="79"/>
      <c r="J50" s="82"/>
      <c r="K50" s="95"/>
      <c r="L50" s="95"/>
      <c r="M50" s="39" t="s">
        <v>92</v>
      </c>
      <c r="N50" s="40" t="str">
        <f>IF(AND(K48="VERY LOW",J48="MODERATE")=TRUE,"X"," ")</f>
        <v xml:space="preserve"> </v>
      </c>
      <c r="O50" s="46" t="str">
        <f>IF(AND(K48="LOW",J48="MODERATE")=TRUE,"X"," ")</f>
        <v xml:space="preserve"> </v>
      </c>
      <c r="P50" s="41" t="str">
        <f>IF(AND(K48="MODERATE",J48="MODERATE")=TRUE,"X"," ")</f>
        <v xml:space="preserve"> </v>
      </c>
      <c r="Q50" s="42"/>
      <c r="R50" s="42" t="str">
        <f>IF(AND(K48="VERY HIGH",J48="MODERATE")=TRUE,"X"," ")</f>
        <v xml:space="preserve"> </v>
      </c>
      <c r="S50" s="44">
        <f>IF(J48=J36,T36,0)</f>
        <v>0</v>
      </c>
      <c r="T50" s="79"/>
      <c r="U50" s="95"/>
      <c r="V50" s="86"/>
      <c r="W50" s="79"/>
      <c r="X50" s="82"/>
      <c r="Y50" s="86"/>
      <c r="Z50" s="89"/>
      <c r="AA50" s="82"/>
      <c r="AB50" s="92"/>
      <c r="AC50" s="2"/>
      <c r="AD50" s="2"/>
      <c r="AE50" s="2"/>
      <c r="AF50" s="11"/>
      <c r="AG50" s="2"/>
      <c r="AH50" s="2"/>
      <c r="AI50" s="2"/>
      <c r="AJ50" s="2"/>
      <c r="AK50" s="2"/>
      <c r="AL50" s="2"/>
    </row>
    <row r="51" spans="1:38" ht="18" customHeight="1" x14ac:dyDescent="0.25">
      <c r="A51" s="2"/>
      <c r="B51" s="76"/>
      <c r="C51" s="79"/>
      <c r="D51" s="82"/>
      <c r="E51" s="47" t="s">
        <v>135</v>
      </c>
      <c r="F51" s="82"/>
      <c r="G51" s="82"/>
      <c r="H51" s="86"/>
      <c r="I51" s="79"/>
      <c r="J51" s="82"/>
      <c r="K51" s="95"/>
      <c r="L51" s="95"/>
      <c r="M51" s="39" t="s">
        <v>93</v>
      </c>
      <c r="N51" s="40" t="str">
        <f>IF(AND(K48="VERY LOW",J48="LOW")=TRUE,"X"," ")</f>
        <v xml:space="preserve"> </v>
      </c>
      <c r="O51" s="46" t="str">
        <f>IF(AND(K48="LOW",J48="LOW")=TRUE,"X"," ")</f>
        <v xml:space="preserve"> </v>
      </c>
      <c r="P51" s="41" t="str">
        <f>IF(AND(K48="MODERATE",J48="LOW")=TRUE,"X"," ")</f>
        <v xml:space="preserve"> </v>
      </c>
      <c r="Q51" s="42" t="s">
        <v>116</v>
      </c>
      <c r="R51" s="42" t="str">
        <f>IF(AND(K48="VERY HIGH",J48="LOW")=TRUE,"X"," ")</f>
        <v xml:space="preserve"> </v>
      </c>
      <c r="S51" s="44">
        <f>IF(J48=J37,T37,0)</f>
        <v>0</v>
      </c>
      <c r="T51" s="79"/>
      <c r="U51" s="95"/>
      <c r="V51" s="86"/>
      <c r="W51" s="79"/>
      <c r="X51" s="82"/>
      <c r="Y51" s="86"/>
      <c r="Z51" s="89"/>
      <c r="AA51" s="82"/>
      <c r="AB51" s="92"/>
      <c r="AC51" s="2"/>
      <c r="AD51" s="2"/>
      <c r="AE51" s="2"/>
      <c r="AF51" s="11" t="s">
        <v>136</v>
      </c>
      <c r="AG51" s="2"/>
      <c r="AH51" s="2"/>
      <c r="AI51" s="2"/>
      <c r="AJ51" s="2"/>
      <c r="AK51" s="2"/>
      <c r="AL51" s="2"/>
    </row>
    <row r="52" spans="1:38" ht="18" customHeight="1" x14ac:dyDescent="0.25">
      <c r="A52" s="1"/>
      <c r="B52" s="76"/>
      <c r="C52" s="79"/>
      <c r="D52" s="82"/>
      <c r="E52" s="105"/>
      <c r="F52" s="82"/>
      <c r="G52" s="82"/>
      <c r="H52" s="86"/>
      <c r="I52" s="79"/>
      <c r="J52" s="82"/>
      <c r="K52" s="95"/>
      <c r="L52" s="95"/>
      <c r="M52" s="39" t="s">
        <v>95</v>
      </c>
      <c r="N52" s="48" t="str">
        <f>IF(AND(K48="VERY LOW",J48="VERY LOW")=TRUE,"X"," ")</f>
        <v xml:space="preserve"> </v>
      </c>
      <c r="O52" s="49" t="str">
        <f>IF(AND(K48="LOW",J48="VERY LOW")=TRUE,"X"," ")</f>
        <v xml:space="preserve"> </v>
      </c>
      <c r="P52" s="49" t="str">
        <f>IF(AND(K48="MODERATE",J48="VERY LOW")=TRUE,"X"," ")</f>
        <v xml:space="preserve"> </v>
      </c>
      <c r="Q52" s="50" t="str">
        <f>IF(AND(K48="HIGH",J48="VERY LOW")=TRUE,"X"," ")</f>
        <v xml:space="preserve"> </v>
      </c>
      <c r="R52" s="51" t="str">
        <f>IF(AND(K48="VERY HIGH",J48="VERY LOW")=TRUE,"X"," ")</f>
        <v xml:space="preserve"> </v>
      </c>
      <c r="S52" s="2">
        <f>IF(J48=J38,T38,0)</f>
        <v>0</v>
      </c>
      <c r="T52" s="79"/>
      <c r="U52" s="95"/>
      <c r="V52" s="86"/>
      <c r="W52" s="79"/>
      <c r="X52" s="82"/>
      <c r="Y52" s="86"/>
      <c r="Z52" s="89"/>
      <c r="AA52" s="82"/>
      <c r="AB52" s="92"/>
      <c r="AC52" s="1"/>
      <c r="AD52" s="1"/>
      <c r="AE52" s="1"/>
      <c r="AF52" s="11" t="s">
        <v>137</v>
      </c>
      <c r="AG52" s="1"/>
      <c r="AH52" s="1"/>
      <c r="AI52" s="1"/>
      <c r="AJ52" s="1"/>
      <c r="AK52" s="1"/>
      <c r="AL52" s="1"/>
    </row>
    <row r="53" spans="1:38" ht="14.25" customHeight="1" x14ac:dyDescent="0.25">
      <c r="A53" s="1"/>
      <c r="B53" s="76"/>
      <c r="C53" s="79"/>
      <c r="D53" s="82"/>
      <c r="E53" s="82"/>
      <c r="F53" s="82"/>
      <c r="G53" s="82"/>
      <c r="H53" s="86"/>
      <c r="I53" s="79"/>
      <c r="J53" s="82"/>
      <c r="K53" s="95"/>
      <c r="L53" s="38"/>
      <c r="M53" s="39"/>
      <c r="N53" s="39" t="s">
        <v>95</v>
      </c>
      <c r="O53" s="39" t="s">
        <v>93</v>
      </c>
      <c r="P53" s="39" t="s">
        <v>92</v>
      </c>
      <c r="Q53" s="39" t="s">
        <v>91</v>
      </c>
      <c r="R53" s="39" t="s">
        <v>87</v>
      </c>
      <c r="S53" s="44"/>
      <c r="T53" s="79"/>
      <c r="U53" s="95"/>
      <c r="V53" s="86"/>
      <c r="W53" s="79"/>
      <c r="X53" s="82"/>
      <c r="Y53" s="86"/>
      <c r="Z53" s="89"/>
      <c r="AA53" s="82"/>
      <c r="AB53" s="92"/>
      <c r="AC53" s="1"/>
      <c r="AD53" s="1"/>
      <c r="AE53" s="1"/>
      <c r="AF53" s="11" t="s">
        <v>138</v>
      </c>
      <c r="AG53" s="1"/>
      <c r="AH53" s="1"/>
      <c r="AI53" s="1"/>
      <c r="AJ53" s="1"/>
      <c r="AK53" s="1"/>
      <c r="AL53" s="1"/>
    </row>
    <row r="54" spans="1:38" ht="11.25" customHeight="1" x14ac:dyDescent="0.25">
      <c r="A54" s="1"/>
      <c r="B54" s="77"/>
      <c r="C54" s="80"/>
      <c r="D54" s="82"/>
      <c r="E54" s="84"/>
      <c r="F54" s="84"/>
      <c r="G54" s="84"/>
      <c r="H54" s="87"/>
      <c r="I54" s="80"/>
      <c r="J54" s="84"/>
      <c r="K54" s="96"/>
      <c r="L54" s="52"/>
      <c r="M54" s="53"/>
      <c r="N54" s="102" t="s">
        <v>23</v>
      </c>
      <c r="O54" s="103"/>
      <c r="P54" s="103"/>
      <c r="Q54" s="103"/>
      <c r="R54" s="103"/>
      <c r="S54" s="54"/>
      <c r="T54" s="80"/>
      <c r="U54" s="96"/>
      <c r="V54" s="87"/>
      <c r="W54" s="80"/>
      <c r="X54" s="84"/>
      <c r="Y54" s="87"/>
      <c r="Z54" s="90"/>
      <c r="AA54" s="84"/>
      <c r="AB54" s="93"/>
      <c r="AC54" s="1"/>
      <c r="AD54" s="1"/>
      <c r="AE54" s="1"/>
      <c r="AF54" s="11" t="s">
        <v>139</v>
      </c>
      <c r="AG54" s="1"/>
      <c r="AH54" s="1"/>
      <c r="AI54" s="1"/>
      <c r="AJ54" s="1"/>
      <c r="AK54" s="1"/>
      <c r="AL54" s="1"/>
    </row>
    <row r="55" spans="1:38" ht="6.75" customHeight="1" x14ac:dyDescent="0.25">
      <c r="A55" s="26"/>
      <c r="B55" s="55"/>
      <c r="C55" s="56"/>
      <c r="D55" s="57"/>
      <c r="E55" s="57"/>
      <c r="F55" s="57"/>
      <c r="G55" s="58"/>
      <c r="H55" s="59"/>
      <c r="I55" s="60"/>
      <c r="J55" s="61"/>
      <c r="K55" s="61"/>
      <c r="L55" s="62"/>
      <c r="M55" s="63"/>
      <c r="N55" s="62"/>
      <c r="O55" s="64"/>
      <c r="P55" s="64"/>
      <c r="Q55" s="64"/>
      <c r="R55" s="64"/>
      <c r="S55" s="65"/>
      <c r="T55" s="66"/>
      <c r="U55" s="67"/>
      <c r="V55" s="67"/>
      <c r="W55" s="68"/>
      <c r="X55" s="69"/>
      <c r="Y55" s="70"/>
      <c r="Z55" s="71"/>
      <c r="AA55" s="72"/>
      <c r="AB55" s="73"/>
      <c r="AC55" s="1"/>
      <c r="AD55" s="1"/>
      <c r="AE55" s="1"/>
      <c r="AF55" s="11" t="s">
        <v>140</v>
      </c>
      <c r="AG55" s="1"/>
      <c r="AH55" s="1"/>
      <c r="AI55" s="1"/>
      <c r="AJ55" s="1"/>
      <c r="AK55" s="1"/>
      <c r="AL55" s="1"/>
    </row>
    <row r="56" spans="1:38" ht="13.5" customHeight="1" x14ac:dyDescent="0.25">
      <c r="A56" s="1"/>
      <c r="B56" s="1"/>
      <c r="C56" s="1"/>
      <c r="D56" s="1"/>
      <c r="E56" s="1"/>
      <c r="F56" s="1"/>
      <c r="G56" s="1"/>
      <c r="H56" s="1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</row>
    <row r="57" spans="1:38" ht="12.75" customHeight="1" x14ac:dyDescent="0.25">
      <c r="A57" s="1"/>
      <c r="B57" s="1"/>
      <c r="C57" s="1"/>
      <c r="D57" s="1"/>
      <c r="E57" s="1"/>
      <c r="F57" s="1"/>
      <c r="G57" s="1"/>
      <c r="H57" s="1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</row>
    <row r="58" spans="1:38" ht="12.75" customHeight="1" x14ac:dyDescent="0.25">
      <c r="A58" s="1"/>
      <c r="B58" s="1"/>
      <c r="C58" s="1"/>
      <c r="D58" s="1"/>
      <c r="E58" s="1"/>
      <c r="F58" s="1"/>
      <c r="G58" s="1"/>
      <c r="H58" s="1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</row>
    <row r="59" spans="1:38" ht="12.75" customHeight="1" x14ac:dyDescent="0.25">
      <c r="A59" s="1"/>
      <c r="B59" s="1"/>
      <c r="C59" s="1"/>
      <c r="D59" s="1"/>
      <c r="E59" s="1"/>
      <c r="F59" s="1"/>
      <c r="G59" s="1"/>
      <c r="H59" s="1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</row>
    <row r="60" spans="1:38" ht="12.75" customHeight="1" x14ac:dyDescent="0.25">
      <c r="A60" s="1"/>
      <c r="B60" s="1"/>
      <c r="C60" s="1"/>
      <c r="D60" s="1"/>
      <c r="E60" s="1"/>
      <c r="F60" s="1"/>
      <c r="G60" s="1"/>
      <c r="H60" s="1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</row>
    <row r="61" spans="1:38" ht="12.75" customHeight="1" x14ac:dyDescent="0.25">
      <c r="A61" s="1"/>
      <c r="B61" s="1"/>
      <c r="C61" s="1"/>
      <c r="D61" s="1"/>
      <c r="E61" s="1"/>
      <c r="F61" s="1"/>
      <c r="G61" s="1"/>
      <c r="H61" s="1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</row>
    <row r="62" spans="1:38" ht="12.75" customHeight="1" x14ac:dyDescent="0.25">
      <c r="A62" s="1"/>
      <c r="B62" s="1"/>
      <c r="C62" s="1"/>
      <c r="D62" s="1"/>
      <c r="E62" s="1"/>
      <c r="F62" s="1"/>
      <c r="G62" s="1"/>
      <c r="H62" s="1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</row>
    <row r="63" spans="1:38" ht="12.75" customHeight="1" x14ac:dyDescent="0.25">
      <c r="A63" s="1"/>
      <c r="B63" s="1"/>
      <c r="C63" s="1"/>
      <c r="D63" s="1"/>
      <c r="E63" s="1"/>
      <c r="F63" s="1"/>
      <c r="G63" s="1"/>
      <c r="H63" s="1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</row>
    <row r="64" spans="1:38" ht="12.75" customHeight="1" x14ac:dyDescent="0.25">
      <c r="A64" s="1"/>
      <c r="B64" s="1"/>
      <c r="C64" s="1"/>
      <c r="D64" s="1"/>
      <c r="E64" s="1"/>
      <c r="F64" s="1"/>
      <c r="G64" s="1"/>
      <c r="H64" s="1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 ht="12.75" customHeight="1" x14ac:dyDescent="0.25">
      <c r="A65" s="1"/>
      <c r="B65" s="1"/>
      <c r="C65" s="1"/>
      <c r="D65" s="1"/>
      <c r="E65" s="1"/>
      <c r="F65" s="1"/>
      <c r="G65" s="1"/>
      <c r="H65" s="1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spans="1:38" ht="12.75" customHeight="1" x14ac:dyDescent="0.25">
      <c r="A66" s="1"/>
      <c r="B66" s="1"/>
      <c r="C66" s="1"/>
      <c r="D66" s="1"/>
      <c r="E66" s="1"/>
      <c r="F66" s="1"/>
      <c r="G66" s="1"/>
      <c r="H66" s="1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spans="1:38" ht="12.75" customHeight="1" x14ac:dyDescent="0.25">
      <c r="A67" s="1"/>
      <c r="B67" s="1"/>
      <c r="C67" s="1"/>
      <c r="D67" s="1"/>
      <c r="E67" s="1"/>
      <c r="F67" s="1"/>
      <c r="G67" s="1"/>
      <c r="H67" s="1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spans="1:38" ht="12.75" customHeight="1" x14ac:dyDescent="0.25">
      <c r="A68" s="1"/>
      <c r="B68" s="1"/>
      <c r="C68" s="1"/>
      <c r="D68" s="1"/>
      <c r="E68" s="1"/>
      <c r="F68" s="1"/>
      <c r="G68" s="1"/>
      <c r="H68" s="1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spans="1:38" ht="12.75" customHeight="1" x14ac:dyDescent="0.25">
      <c r="A69" s="1"/>
      <c r="B69" s="1"/>
      <c r="C69" s="1"/>
      <c r="D69" s="1"/>
      <c r="E69" s="1"/>
      <c r="F69" s="1"/>
      <c r="G69" s="1"/>
      <c r="H69" s="1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spans="1:38" ht="12.75" customHeight="1" x14ac:dyDescent="0.25">
      <c r="A70" s="1"/>
      <c r="B70" s="1"/>
      <c r="C70" s="1"/>
      <c r="D70" s="1"/>
      <c r="E70" s="1"/>
      <c r="F70" s="1"/>
      <c r="G70" s="1"/>
      <c r="H70" s="1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spans="1:38" ht="12.75" customHeight="1" x14ac:dyDescent="0.25">
      <c r="A71" s="1"/>
      <c r="B71" s="1"/>
      <c r="C71" s="1"/>
      <c r="D71" s="1"/>
      <c r="E71" s="1"/>
      <c r="F71" s="1"/>
      <c r="G71" s="1"/>
      <c r="H71" s="1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spans="1:38" ht="12.75" customHeight="1" x14ac:dyDescent="0.25">
      <c r="A72" s="1"/>
      <c r="B72" s="1"/>
      <c r="C72" s="1"/>
      <c r="D72" s="1"/>
      <c r="E72" s="1"/>
      <c r="F72" s="1"/>
      <c r="G72" s="1"/>
      <c r="H72" s="1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1:38" ht="12.75" customHeight="1" x14ac:dyDescent="0.25">
      <c r="A73" s="1"/>
      <c r="B73" s="1"/>
      <c r="C73" s="1"/>
      <c r="D73" s="1"/>
      <c r="E73" s="1"/>
      <c r="F73" s="1"/>
      <c r="G73" s="1"/>
      <c r="H73" s="1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1:38" ht="12.75" customHeight="1" x14ac:dyDescent="0.25">
      <c r="A74" s="1"/>
      <c r="B74" s="1"/>
      <c r="C74" s="1"/>
      <c r="D74" s="1"/>
      <c r="E74" s="1"/>
      <c r="F74" s="1"/>
      <c r="G74" s="1"/>
      <c r="H74" s="1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1:38" ht="12.75" customHeight="1" x14ac:dyDescent="0.25">
      <c r="A75" s="1"/>
      <c r="B75" s="1"/>
      <c r="C75" s="1"/>
      <c r="D75" s="1"/>
      <c r="E75" s="1"/>
      <c r="F75" s="1"/>
      <c r="G75" s="1"/>
      <c r="H75" s="1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1:38" ht="12.75" customHeight="1" x14ac:dyDescent="0.25">
      <c r="A76" s="1"/>
      <c r="B76" s="1"/>
      <c r="C76" s="1"/>
      <c r="D76" s="1"/>
      <c r="E76" s="1"/>
      <c r="F76" s="1"/>
      <c r="G76" s="1"/>
      <c r="H76" s="1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1:38" ht="12.75" customHeight="1" x14ac:dyDescent="0.25">
      <c r="A77" s="1"/>
      <c r="B77" s="1"/>
      <c r="C77" s="1"/>
      <c r="D77" s="1"/>
      <c r="E77" s="1"/>
      <c r="F77" s="1"/>
      <c r="G77" s="1"/>
      <c r="H77" s="1"/>
      <c r="I77" s="2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1:38" ht="12.75" customHeight="1" x14ac:dyDescent="0.25">
      <c r="A78" s="1"/>
      <c r="B78" s="1"/>
      <c r="C78" s="1"/>
      <c r="D78" s="1"/>
      <c r="E78" s="1"/>
      <c r="F78" s="1"/>
      <c r="G78" s="1"/>
      <c r="H78" s="1"/>
      <c r="I78" s="2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1:38" ht="12.75" customHeight="1" x14ac:dyDescent="0.25">
      <c r="A79" s="1"/>
      <c r="B79" s="1"/>
      <c r="C79" s="1"/>
      <c r="D79" s="1"/>
      <c r="E79" s="1"/>
      <c r="F79" s="1"/>
      <c r="G79" s="1"/>
      <c r="H79" s="1"/>
      <c r="I79" s="2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1:38" ht="12.75" customHeight="1" x14ac:dyDescent="0.25">
      <c r="A80" s="1"/>
      <c r="B80" s="1"/>
      <c r="C80" s="1"/>
      <c r="D80" s="1"/>
      <c r="E80" s="1"/>
      <c r="F80" s="1"/>
      <c r="G80" s="1"/>
      <c r="H80" s="1"/>
      <c r="I80" s="2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 ht="12.75" customHeight="1" x14ac:dyDescent="0.25">
      <c r="A81" s="1"/>
      <c r="B81" s="1"/>
      <c r="C81" s="1"/>
      <c r="D81" s="1"/>
      <c r="E81" s="1"/>
      <c r="F81" s="1"/>
      <c r="G81" s="1"/>
      <c r="H81" s="1"/>
      <c r="I81" s="2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 ht="12.75" customHeight="1" x14ac:dyDescent="0.25">
      <c r="A82" s="1"/>
      <c r="B82" s="1"/>
      <c r="C82" s="1"/>
      <c r="D82" s="1"/>
      <c r="E82" s="1"/>
      <c r="F82" s="1"/>
      <c r="G82" s="1"/>
      <c r="H82" s="1"/>
      <c r="I82" s="2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 ht="12.75" customHeight="1" x14ac:dyDescent="0.25">
      <c r="A83" s="1"/>
      <c r="B83" s="1"/>
      <c r="C83" s="1"/>
      <c r="D83" s="1"/>
      <c r="E83" s="1"/>
      <c r="F83" s="1"/>
      <c r="G83" s="1"/>
      <c r="H83" s="1"/>
      <c r="I83" s="2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1:38" ht="12.75" customHeight="1" x14ac:dyDescent="0.25">
      <c r="A84" s="1"/>
      <c r="B84" s="1"/>
      <c r="C84" s="1"/>
      <c r="D84" s="1"/>
      <c r="E84" s="1"/>
      <c r="F84" s="1"/>
      <c r="G84" s="1"/>
      <c r="H84" s="1"/>
      <c r="I84" s="2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1:38" ht="12.75" customHeight="1" x14ac:dyDescent="0.25">
      <c r="A85" s="1"/>
      <c r="B85" s="1"/>
      <c r="C85" s="1"/>
      <c r="D85" s="1"/>
      <c r="E85" s="1"/>
      <c r="F85" s="1"/>
      <c r="G85" s="1"/>
      <c r="H85" s="1"/>
      <c r="I85" s="2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1:38" ht="12.75" customHeight="1" x14ac:dyDescent="0.25">
      <c r="A86" s="1"/>
      <c r="B86" s="1"/>
      <c r="C86" s="1"/>
      <c r="D86" s="1"/>
      <c r="E86" s="1"/>
      <c r="F86" s="1"/>
      <c r="G86" s="1"/>
      <c r="H86" s="1"/>
      <c r="I86" s="2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1:38" ht="12.75" customHeight="1" x14ac:dyDescent="0.25">
      <c r="A87" s="1"/>
      <c r="B87" s="1"/>
      <c r="C87" s="1"/>
      <c r="D87" s="1"/>
      <c r="E87" s="1"/>
      <c r="F87" s="1"/>
      <c r="G87" s="1"/>
      <c r="H87" s="1"/>
      <c r="I87" s="2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1:38" ht="12.75" customHeight="1" x14ac:dyDescent="0.25">
      <c r="A88" s="1"/>
      <c r="B88" s="1"/>
      <c r="C88" s="1"/>
      <c r="D88" s="1"/>
      <c r="E88" s="1"/>
      <c r="F88" s="1"/>
      <c r="G88" s="1"/>
      <c r="H88" s="1"/>
      <c r="I88" s="2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1:38" ht="12.75" customHeight="1" x14ac:dyDescent="0.25">
      <c r="A89" s="1"/>
      <c r="B89" s="1"/>
      <c r="C89" s="1"/>
      <c r="D89" s="1"/>
      <c r="E89" s="1"/>
      <c r="F89" s="1"/>
      <c r="G89" s="1"/>
      <c r="H89" s="1"/>
      <c r="I89" s="2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1:38" ht="12.75" customHeight="1" x14ac:dyDescent="0.25">
      <c r="A90" s="1"/>
      <c r="B90" s="1"/>
      <c r="C90" s="1"/>
      <c r="D90" s="1"/>
      <c r="E90" s="1"/>
      <c r="F90" s="1"/>
      <c r="G90" s="1"/>
      <c r="H90" s="1"/>
      <c r="I90" s="2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1:38" ht="12.75" customHeight="1" x14ac:dyDescent="0.25">
      <c r="A91" s="1"/>
      <c r="B91" s="1"/>
      <c r="C91" s="1"/>
      <c r="D91" s="1"/>
      <c r="E91" s="1"/>
      <c r="F91" s="1"/>
      <c r="G91" s="1"/>
      <c r="H91" s="1"/>
      <c r="I91" s="2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1:38" ht="12.75" customHeight="1" x14ac:dyDescent="0.25">
      <c r="A92" s="1"/>
      <c r="B92" s="1"/>
      <c r="C92" s="1"/>
      <c r="D92" s="1"/>
      <c r="E92" s="1"/>
      <c r="F92" s="1"/>
      <c r="G92" s="1"/>
      <c r="H92" s="1"/>
      <c r="I92" s="2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1:38" ht="12.75" customHeight="1" x14ac:dyDescent="0.25">
      <c r="A93" s="1"/>
      <c r="B93" s="1"/>
      <c r="C93" s="1"/>
      <c r="D93" s="1"/>
      <c r="E93" s="1"/>
      <c r="F93" s="1"/>
      <c r="G93" s="1"/>
      <c r="H93" s="1"/>
      <c r="I93" s="2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1:38" ht="12.75" customHeight="1" x14ac:dyDescent="0.25">
      <c r="A94" s="1"/>
      <c r="B94" s="1"/>
      <c r="C94" s="1"/>
      <c r="D94" s="1"/>
      <c r="E94" s="1"/>
      <c r="F94" s="1"/>
      <c r="G94" s="1"/>
      <c r="H94" s="1"/>
      <c r="I94" s="2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1:38" ht="12.75" customHeight="1" x14ac:dyDescent="0.25">
      <c r="A95" s="1"/>
      <c r="B95" s="1"/>
      <c r="C95" s="1"/>
      <c r="D95" s="1"/>
      <c r="E95" s="1"/>
      <c r="F95" s="1"/>
      <c r="G95" s="1"/>
      <c r="H95" s="1"/>
      <c r="I95" s="2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1:38" ht="12.75" customHeight="1" x14ac:dyDescent="0.25">
      <c r="A96" s="1"/>
      <c r="B96" s="1"/>
      <c r="C96" s="1"/>
      <c r="D96" s="1"/>
      <c r="E96" s="1"/>
      <c r="F96" s="1"/>
      <c r="G96" s="1"/>
      <c r="H96" s="1"/>
      <c r="I96" s="2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1:38" ht="12.75" customHeight="1" x14ac:dyDescent="0.25">
      <c r="A97" s="1"/>
      <c r="B97" s="1"/>
      <c r="C97" s="1"/>
      <c r="D97" s="1"/>
      <c r="E97" s="1"/>
      <c r="F97" s="1"/>
      <c r="G97" s="1"/>
      <c r="H97" s="1"/>
      <c r="I97" s="2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1:38" ht="12.75" customHeight="1" x14ac:dyDescent="0.25">
      <c r="A98" s="1"/>
      <c r="B98" s="1"/>
      <c r="C98" s="1"/>
      <c r="D98" s="1"/>
      <c r="E98" s="1"/>
      <c r="F98" s="1"/>
      <c r="G98" s="1"/>
      <c r="H98" s="1"/>
      <c r="I98" s="2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1:38" ht="12.75" customHeight="1" x14ac:dyDescent="0.25">
      <c r="A99" s="1"/>
      <c r="B99" s="1"/>
      <c r="C99" s="1"/>
      <c r="D99" s="1"/>
      <c r="E99" s="1"/>
      <c r="F99" s="1"/>
      <c r="G99" s="1"/>
      <c r="H99" s="1"/>
      <c r="I99" s="2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1:38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2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1:38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2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1:38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2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1:38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2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1:38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2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1:38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2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2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2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2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2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2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2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2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2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2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2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2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2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2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2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2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2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2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2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2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1:38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2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1:38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2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1:38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2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1:38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2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1:38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2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1:38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2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1:38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2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1:38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2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1:38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2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1:38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2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spans="1:38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2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spans="1:38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2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2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2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2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2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2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2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2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2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2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1:38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2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38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2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1:38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2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1:38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2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1:38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2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1:38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2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1:38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2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1:38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2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1:38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2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1:38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2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1:38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2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1:38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2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2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2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2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2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2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2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2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2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2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spans="1:38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2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spans="1:38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2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spans="1:38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2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spans="1:38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2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spans="1:38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2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spans="1:38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2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spans="1:38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2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1:38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2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1:38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2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1:38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2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2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2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2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2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2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2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2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2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2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spans="1:38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2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spans="1:38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2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spans="1:38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2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spans="1:38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2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spans="1:38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2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spans="1:38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2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spans="1:38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2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spans="1:38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2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spans="1:38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2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spans="1:38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2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2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2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2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2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2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2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2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2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spans="1:38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2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spans="1:38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2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spans="1:38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2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spans="1:38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2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spans="1:38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2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spans="1:38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2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spans="1:38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2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spans="1:38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2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spans="1:38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2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</row>
    <row r="213" spans="1:38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2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</row>
    <row r="214" spans="1:38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2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</row>
    <row r="215" spans="1:38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2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</row>
    <row r="216" spans="1:38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2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</row>
    <row r="217" spans="1:38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2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</row>
    <row r="218" spans="1:38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2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</row>
    <row r="219" spans="1:38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2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</row>
    <row r="220" spans="1:38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2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</row>
    <row r="221" spans="1:38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2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</row>
    <row r="222" spans="1:38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2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</row>
    <row r="223" spans="1:38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2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</row>
    <row r="224" spans="1:38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2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</row>
    <row r="225" spans="1:38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2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</row>
    <row r="226" spans="1:38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2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</row>
    <row r="227" spans="1:38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2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</row>
    <row r="228" spans="1:38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2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</row>
    <row r="229" spans="1:38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2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</row>
    <row r="230" spans="1:38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2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</row>
    <row r="231" spans="1:38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2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</row>
    <row r="232" spans="1:38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2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</row>
    <row r="233" spans="1:38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2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</row>
    <row r="234" spans="1:38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2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</row>
    <row r="235" spans="1:38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2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</row>
    <row r="236" spans="1:38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2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</row>
    <row r="237" spans="1:38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2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</row>
    <row r="238" spans="1:38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2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</row>
    <row r="239" spans="1:38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2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</row>
    <row r="240" spans="1:38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2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</row>
    <row r="241" spans="1:38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2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</row>
    <row r="242" spans="1:38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2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</row>
    <row r="243" spans="1:38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2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</row>
    <row r="244" spans="1:38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2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</row>
    <row r="245" spans="1:38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2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</row>
    <row r="246" spans="1:38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2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</row>
    <row r="247" spans="1:38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2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</row>
    <row r="248" spans="1:38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2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</row>
    <row r="249" spans="1:38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2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</row>
    <row r="250" spans="1:38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2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</row>
    <row r="251" spans="1:38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2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</row>
    <row r="252" spans="1:38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2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</row>
    <row r="253" spans="1:38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2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</row>
    <row r="254" spans="1:38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2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</row>
    <row r="255" spans="1:38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2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</row>
    <row r="256" spans="1:38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</row>
    <row r="257" spans="1:38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</row>
    <row r="258" spans="1:38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</row>
    <row r="259" spans="1:38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</row>
    <row r="260" spans="1:38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</row>
    <row r="261" spans="1:38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</row>
    <row r="262" spans="1:38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</row>
    <row r="263" spans="1:38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</row>
    <row r="264" spans="1:38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</row>
    <row r="265" spans="1:38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</row>
    <row r="266" spans="1:38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</row>
    <row r="267" spans="1:38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</row>
    <row r="268" spans="1:38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</row>
    <row r="269" spans="1:38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</row>
    <row r="270" spans="1:38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</row>
    <row r="271" spans="1:38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</row>
    <row r="272" spans="1:38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</row>
    <row r="273" spans="1:38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</row>
    <row r="274" spans="1:38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</row>
    <row r="275" spans="1:38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</row>
    <row r="276" spans="1:38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</row>
    <row r="277" spans="1:38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</row>
    <row r="278" spans="1:38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</row>
    <row r="279" spans="1:38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</row>
    <row r="280" spans="1:38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</row>
    <row r="281" spans="1:38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</row>
    <row r="282" spans="1:38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</row>
    <row r="283" spans="1:38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</row>
    <row r="284" spans="1:38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</row>
    <row r="285" spans="1:38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</row>
    <row r="286" spans="1:38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</row>
    <row r="287" spans="1:38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</row>
    <row r="288" spans="1:38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</row>
    <row r="289" spans="1:38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</row>
    <row r="290" spans="1:38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</row>
    <row r="291" spans="1:38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</row>
    <row r="292" spans="1:38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</row>
    <row r="293" spans="1:38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</row>
    <row r="294" spans="1:38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</row>
    <row r="295" spans="1:38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</row>
    <row r="296" spans="1:38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</row>
    <row r="297" spans="1:38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</row>
    <row r="298" spans="1:38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</row>
    <row r="299" spans="1:38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</row>
    <row r="300" spans="1:38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</row>
    <row r="301" spans="1:38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</row>
    <row r="302" spans="1:38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spans="1:38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</row>
    <row r="304" spans="1:38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</row>
    <row r="305" spans="1:38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</row>
    <row r="306" spans="1:38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</row>
    <row r="307" spans="1:38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</row>
    <row r="308" spans="1:38" ht="12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</row>
    <row r="309" spans="1:38" ht="12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</row>
    <row r="310" spans="1:38" ht="12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</row>
    <row r="311" spans="1:38" ht="12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</row>
    <row r="312" spans="1:38" ht="12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</row>
    <row r="313" spans="1:38" ht="12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</row>
    <row r="314" spans="1:38" ht="12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</row>
    <row r="315" spans="1:38" ht="12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</row>
    <row r="316" spans="1:38" ht="12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</row>
    <row r="317" spans="1:38" ht="12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</row>
    <row r="318" spans="1:38" ht="12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</row>
    <row r="319" spans="1:38" ht="12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</row>
    <row r="320" spans="1:38" ht="12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</row>
    <row r="321" spans="1:38" ht="12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</row>
    <row r="322" spans="1:38" ht="12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</row>
    <row r="323" spans="1:38" ht="12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</row>
    <row r="324" spans="1:38" ht="12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</row>
    <row r="325" spans="1:38" ht="12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</row>
    <row r="326" spans="1:38" ht="12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</row>
    <row r="327" spans="1:38" ht="12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</row>
    <row r="328" spans="1:38" ht="12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</row>
    <row r="329" spans="1:38" ht="12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</row>
    <row r="330" spans="1:38" ht="12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</row>
    <row r="331" spans="1:38" ht="12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</row>
    <row r="332" spans="1:38" ht="12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</row>
    <row r="333" spans="1:38" ht="12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</row>
    <row r="334" spans="1:38" ht="12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</row>
    <row r="335" spans="1:38" ht="12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</row>
    <row r="336" spans="1:38" ht="12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</row>
    <row r="337" spans="1:38" ht="12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</row>
    <row r="338" spans="1:38" ht="12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</row>
    <row r="339" spans="1:38" ht="12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</row>
    <row r="340" spans="1:38" ht="12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</row>
    <row r="341" spans="1:38" ht="12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</row>
    <row r="342" spans="1:38" ht="12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</row>
    <row r="343" spans="1:38" ht="12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</row>
    <row r="344" spans="1:38" ht="12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</row>
    <row r="345" spans="1:38" ht="12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</row>
    <row r="346" spans="1:38" ht="12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</row>
    <row r="347" spans="1:38" ht="12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</row>
    <row r="348" spans="1:38" ht="12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</row>
    <row r="349" spans="1:38" ht="12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</row>
    <row r="350" spans="1:38" ht="12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</row>
    <row r="351" spans="1:38" ht="12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</row>
    <row r="352" spans="1:38" ht="12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</row>
    <row r="353" spans="1:38" ht="12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</row>
    <row r="354" spans="1:38" ht="12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</row>
    <row r="355" spans="1:38" ht="12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</row>
    <row r="356" spans="1:38" ht="12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</row>
    <row r="357" spans="1:38" ht="12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</row>
    <row r="358" spans="1:38" ht="12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</row>
    <row r="359" spans="1:38" ht="12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</row>
    <row r="360" spans="1:38" ht="12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</row>
    <row r="361" spans="1:38" ht="12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</row>
    <row r="362" spans="1:38" ht="12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</row>
    <row r="363" spans="1:38" ht="12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</row>
    <row r="364" spans="1:38" ht="12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</row>
    <row r="365" spans="1:38" ht="12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</row>
    <row r="366" spans="1:38" ht="12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</row>
    <row r="367" spans="1:38" ht="12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</row>
    <row r="368" spans="1:38" ht="12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</row>
    <row r="369" spans="1:38" ht="12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</row>
    <row r="370" spans="1:38" ht="12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</row>
    <row r="371" spans="1:38" ht="12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</row>
    <row r="372" spans="1:38" ht="12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</row>
    <row r="373" spans="1:38" ht="12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</row>
    <row r="374" spans="1:38" ht="12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</row>
    <row r="375" spans="1:38" ht="12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</row>
    <row r="376" spans="1:38" ht="12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</row>
    <row r="377" spans="1:38" ht="12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</row>
    <row r="378" spans="1:38" ht="12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</row>
    <row r="379" spans="1:38" ht="12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</row>
    <row r="380" spans="1:38" ht="12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</row>
    <row r="381" spans="1:38" ht="12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</row>
    <row r="382" spans="1:38" ht="12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</row>
    <row r="383" spans="1:38" ht="12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</row>
    <row r="384" spans="1:38" ht="12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</row>
    <row r="385" spans="1:38" ht="12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</row>
    <row r="386" spans="1:38" ht="12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</row>
    <row r="387" spans="1:38" ht="12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</row>
    <row r="388" spans="1:38" ht="12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</row>
    <row r="389" spans="1:38" ht="12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</row>
    <row r="390" spans="1:38" ht="12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</row>
    <row r="391" spans="1:38" ht="12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</row>
    <row r="392" spans="1:38" ht="12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</row>
    <row r="393" spans="1:38" ht="12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</row>
    <row r="394" spans="1:38" ht="12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</row>
    <row r="395" spans="1:38" ht="12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</row>
    <row r="396" spans="1:38" ht="12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</row>
    <row r="397" spans="1:38" ht="12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</row>
    <row r="398" spans="1:38" ht="12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</row>
    <row r="399" spans="1:38" ht="12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</row>
    <row r="400" spans="1:38" ht="12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</row>
    <row r="401" spans="1:38" ht="12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</row>
    <row r="402" spans="1:38" ht="12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</row>
    <row r="403" spans="1:38" ht="12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</row>
    <row r="404" spans="1:38" ht="12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</row>
    <row r="405" spans="1:38" ht="12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</row>
    <row r="406" spans="1:38" ht="12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</row>
    <row r="407" spans="1:38" ht="12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</row>
    <row r="408" spans="1:38" ht="12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</row>
    <row r="409" spans="1:38" ht="12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</row>
    <row r="410" spans="1:38" ht="12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</row>
    <row r="411" spans="1:38" ht="12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</row>
    <row r="412" spans="1:38" ht="12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</row>
    <row r="413" spans="1:38" ht="12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</row>
    <row r="414" spans="1:38" ht="12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</row>
    <row r="415" spans="1:38" ht="12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</row>
    <row r="416" spans="1:38" ht="12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</row>
    <row r="417" spans="1:38" ht="12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</row>
    <row r="418" spans="1:38" ht="12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</row>
    <row r="419" spans="1:38" ht="12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</row>
    <row r="420" spans="1:38" ht="12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</row>
    <row r="421" spans="1:38" ht="12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</row>
    <row r="422" spans="1:38" ht="12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</row>
    <row r="423" spans="1:38" ht="12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</row>
    <row r="424" spans="1:38" ht="12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</row>
    <row r="425" spans="1:38" ht="12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</row>
    <row r="426" spans="1:38" ht="12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</row>
    <row r="427" spans="1:38" ht="12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</row>
    <row r="428" spans="1:38" ht="12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</row>
    <row r="429" spans="1:38" ht="12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</row>
    <row r="430" spans="1:38" ht="12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</row>
    <row r="431" spans="1:38" ht="12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</row>
    <row r="432" spans="1:38" ht="12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</row>
    <row r="433" spans="1:38" ht="12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</row>
    <row r="434" spans="1:38" ht="12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</row>
    <row r="435" spans="1:38" ht="12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</row>
    <row r="436" spans="1:38" ht="12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</row>
    <row r="437" spans="1:38" ht="12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</row>
    <row r="438" spans="1:38" ht="12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</row>
    <row r="439" spans="1:38" ht="12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</row>
    <row r="440" spans="1:38" ht="12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</row>
    <row r="441" spans="1:38" ht="12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</row>
    <row r="442" spans="1:38" ht="12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</row>
    <row r="443" spans="1:38" ht="12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</row>
    <row r="444" spans="1:38" ht="12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</row>
    <row r="445" spans="1:38" ht="12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</row>
    <row r="446" spans="1:38" ht="12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</row>
    <row r="447" spans="1:38" ht="12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</row>
    <row r="448" spans="1:38" ht="12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</row>
    <row r="449" spans="1:38" ht="12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</row>
    <row r="450" spans="1:38" ht="12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</row>
    <row r="451" spans="1:38" ht="12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</row>
    <row r="452" spans="1:38" ht="12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</row>
    <row r="453" spans="1:38" ht="12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</row>
    <row r="454" spans="1:38" ht="12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</row>
    <row r="455" spans="1:38" ht="12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</row>
    <row r="456" spans="1:38" ht="12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</row>
    <row r="457" spans="1:38" ht="12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</row>
    <row r="458" spans="1:38" ht="12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</row>
    <row r="459" spans="1:38" ht="12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</row>
    <row r="460" spans="1:38" ht="12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</row>
    <row r="461" spans="1:38" ht="12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</row>
    <row r="462" spans="1:38" ht="12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</row>
    <row r="463" spans="1:38" ht="12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</row>
    <row r="464" spans="1:38" ht="12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</row>
    <row r="465" spans="1:38" ht="12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</row>
    <row r="466" spans="1:38" ht="12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</row>
    <row r="467" spans="1:38" ht="12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</row>
    <row r="468" spans="1:38" ht="12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</row>
    <row r="469" spans="1:38" ht="12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</row>
    <row r="470" spans="1:38" ht="12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</row>
    <row r="471" spans="1:38" ht="12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</row>
    <row r="472" spans="1:38" ht="12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</row>
    <row r="473" spans="1:38" ht="12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</row>
    <row r="474" spans="1:38" ht="12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</row>
    <row r="475" spans="1:38" ht="12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</row>
    <row r="476" spans="1:38" ht="12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</row>
    <row r="477" spans="1:38" ht="12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</row>
    <row r="478" spans="1:38" ht="12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</row>
    <row r="479" spans="1:38" ht="12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</row>
    <row r="480" spans="1:38" ht="12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</row>
    <row r="481" spans="1:38" ht="12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</row>
    <row r="482" spans="1:38" ht="12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</row>
    <row r="483" spans="1:38" ht="12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</row>
    <row r="484" spans="1:38" ht="12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</row>
    <row r="485" spans="1:38" ht="12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</row>
    <row r="486" spans="1:38" ht="12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</row>
    <row r="487" spans="1:38" ht="12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</row>
    <row r="488" spans="1:38" ht="12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</row>
    <row r="489" spans="1:38" ht="12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</row>
    <row r="490" spans="1:38" ht="12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</row>
    <row r="491" spans="1:38" ht="12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</row>
    <row r="492" spans="1:38" ht="12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</row>
    <row r="493" spans="1:38" ht="12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</row>
    <row r="494" spans="1:38" ht="12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</row>
    <row r="495" spans="1:38" ht="12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</row>
    <row r="496" spans="1:38" ht="12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</row>
    <row r="497" spans="1:38" ht="12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</row>
    <row r="498" spans="1:38" ht="12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</row>
    <row r="499" spans="1:38" ht="12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</row>
    <row r="500" spans="1:38" ht="12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</row>
    <row r="501" spans="1:38" ht="12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</row>
    <row r="502" spans="1:38" ht="12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</row>
    <row r="503" spans="1:38" ht="12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</row>
    <row r="504" spans="1:38" ht="12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</row>
    <row r="505" spans="1:38" ht="12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</row>
    <row r="506" spans="1:38" ht="12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</row>
    <row r="507" spans="1:38" ht="12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</row>
    <row r="508" spans="1:38" ht="12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</row>
    <row r="509" spans="1:38" ht="12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</row>
    <row r="510" spans="1:38" ht="12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</row>
    <row r="511" spans="1:38" ht="12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</row>
    <row r="512" spans="1:38" ht="12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</row>
    <row r="513" spans="1:38" ht="12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</row>
    <row r="514" spans="1:38" ht="12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</row>
    <row r="515" spans="1:38" ht="12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</row>
    <row r="516" spans="1:38" ht="12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</row>
    <row r="517" spans="1:38" ht="12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</row>
    <row r="518" spans="1:38" ht="12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</row>
    <row r="519" spans="1:38" ht="12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</row>
    <row r="520" spans="1:38" ht="12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</row>
    <row r="521" spans="1:38" ht="12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</row>
    <row r="522" spans="1:38" ht="12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</row>
    <row r="523" spans="1:38" ht="12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</row>
    <row r="524" spans="1:38" ht="12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</row>
    <row r="525" spans="1:38" ht="12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</row>
    <row r="526" spans="1:38" ht="12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</row>
    <row r="527" spans="1:38" ht="12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</row>
    <row r="528" spans="1:38" ht="12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</row>
    <row r="529" spans="1:38" ht="12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</row>
    <row r="530" spans="1:38" ht="12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</row>
    <row r="531" spans="1:38" ht="12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</row>
    <row r="532" spans="1:38" ht="12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</row>
    <row r="533" spans="1:38" ht="12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</row>
    <row r="534" spans="1:38" ht="12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</row>
    <row r="535" spans="1:38" ht="12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</row>
    <row r="536" spans="1:38" ht="12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</row>
    <row r="537" spans="1:38" ht="12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</row>
    <row r="538" spans="1:38" ht="12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</row>
    <row r="539" spans="1:38" ht="12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</row>
    <row r="540" spans="1:38" ht="12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</row>
    <row r="541" spans="1:38" ht="12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</row>
    <row r="542" spans="1:38" ht="12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</row>
    <row r="543" spans="1:38" ht="12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</row>
    <row r="544" spans="1:38" ht="12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</row>
    <row r="545" spans="1:38" ht="12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</row>
    <row r="546" spans="1:38" ht="12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</row>
    <row r="547" spans="1:38" ht="12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</row>
    <row r="548" spans="1:38" ht="12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</row>
    <row r="549" spans="1:38" ht="12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</row>
    <row r="550" spans="1:38" ht="12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</row>
    <row r="551" spans="1:38" ht="12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</row>
    <row r="552" spans="1:38" ht="12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</row>
    <row r="553" spans="1:38" ht="12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</row>
    <row r="554" spans="1:38" ht="12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</row>
    <row r="555" spans="1:38" ht="12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</row>
    <row r="556" spans="1:38" ht="12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</row>
    <row r="557" spans="1:38" ht="12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</row>
    <row r="558" spans="1:38" ht="12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</row>
    <row r="559" spans="1:38" ht="12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</row>
    <row r="560" spans="1:38" ht="12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</row>
    <row r="561" spans="1:38" ht="12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</row>
    <row r="562" spans="1:38" ht="12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</row>
    <row r="563" spans="1:38" ht="12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</row>
    <row r="564" spans="1:38" ht="12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</row>
    <row r="565" spans="1:38" ht="12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</row>
    <row r="566" spans="1:38" ht="12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</row>
    <row r="567" spans="1:38" ht="12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</row>
    <row r="568" spans="1:38" ht="12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</row>
    <row r="569" spans="1:38" ht="12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</row>
    <row r="570" spans="1:38" ht="12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</row>
    <row r="571" spans="1:38" ht="12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</row>
    <row r="572" spans="1:38" ht="12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</row>
    <row r="573" spans="1:38" ht="12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</row>
    <row r="574" spans="1:38" ht="12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</row>
    <row r="575" spans="1:38" ht="12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</row>
    <row r="576" spans="1:38" ht="12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</row>
    <row r="577" spans="1:38" ht="12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</row>
    <row r="578" spans="1:38" ht="12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</row>
    <row r="579" spans="1:38" ht="12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</row>
    <row r="580" spans="1:38" ht="12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</row>
    <row r="581" spans="1:38" ht="12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</row>
    <row r="582" spans="1:38" ht="12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</row>
    <row r="583" spans="1:38" ht="12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</row>
    <row r="584" spans="1:38" ht="12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</row>
    <row r="585" spans="1:38" ht="12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</row>
    <row r="586" spans="1:38" ht="12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</row>
    <row r="587" spans="1:38" ht="12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</row>
    <row r="588" spans="1:38" ht="12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</row>
    <row r="589" spans="1:38" ht="12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</row>
    <row r="590" spans="1:38" ht="12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</row>
    <row r="591" spans="1:38" ht="12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</row>
    <row r="592" spans="1:38" ht="12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</row>
    <row r="593" spans="1:38" ht="12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</row>
    <row r="594" spans="1:38" ht="12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</row>
    <row r="595" spans="1:38" ht="12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</row>
    <row r="596" spans="1:38" ht="12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</row>
    <row r="597" spans="1:38" ht="12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</row>
    <row r="598" spans="1:38" ht="12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</row>
    <row r="599" spans="1:38" ht="12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</row>
    <row r="600" spans="1:38" ht="12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</row>
    <row r="601" spans="1:38" ht="12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</row>
    <row r="602" spans="1:38" ht="12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</row>
    <row r="603" spans="1:38" ht="12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</row>
    <row r="604" spans="1:38" ht="12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</row>
    <row r="605" spans="1:38" ht="12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</row>
    <row r="606" spans="1:38" ht="12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</row>
    <row r="607" spans="1:38" ht="12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</row>
    <row r="608" spans="1:38" ht="12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</row>
    <row r="609" spans="1:38" ht="12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</row>
    <row r="610" spans="1:38" ht="12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</row>
    <row r="611" spans="1:38" ht="12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</row>
    <row r="612" spans="1:38" ht="12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</row>
    <row r="613" spans="1:38" ht="12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</row>
    <row r="614" spans="1:38" ht="12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</row>
    <row r="615" spans="1:38" ht="12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</row>
    <row r="616" spans="1:38" ht="12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</row>
    <row r="617" spans="1:38" ht="12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</row>
    <row r="618" spans="1:38" ht="12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</row>
    <row r="619" spans="1:38" ht="12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</row>
    <row r="620" spans="1:38" ht="12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</row>
    <row r="621" spans="1:38" ht="12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</row>
    <row r="622" spans="1:38" ht="12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</row>
    <row r="623" spans="1:38" ht="12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</row>
    <row r="624" spans="1:38" ht="12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</row>
    <row r="625" spans="1:38" ht="12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</row>
    <row r="626" spans="1:38" ht="12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</row>
    <row r="627" spans="1:38" ht="12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</row>
    <row r="628" spans="1:38" ht="12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</row>
    <row r="629" spans="1:38" ht="12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</row>
    <row r="630" spans="1:38" ht="12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</row>
    <row r="631" spans="1:38" ht="12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</row>
    <row r="632" spans="1:38" ht="12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</row>
    <row r="633" spans="1:38" ht="12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</row>
    <row r="634" spans="1:38" ht="12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</row>
    <row r="635" spans="1:38" ht="12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</row>
    <row r="636" spans="1:38" ht="12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</row>
    <row r="637" spans="1:38" ht="12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</row>
    <row r="638" spans="1:38" ht="12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</row>
    <row r="639" spans="1:38" ht="12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</row>
    <row r="640" spans="1:38" ht="12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</row>
    <row r="641" spans="1:38" ht="12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</row>
    <row r="642" spans="1:38" ht="12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</row>
    <row r="643" spans="1:38" ht="12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</row>
    <row r="644" spans="1:38" ht="12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</row>
    <row r="645" spans="1:38" ht="12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</row>
    <row r="646" spans="1:38" ht="12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</row>
    <row r="647" spans="1:38" ht="12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</row>
    <row r="648" spans="1:38" ht="12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</row>
    <row r="649" spans="1:38" ht="12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</row>
    <row r="650" spans="1:38" ht="12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</row>
    <row r="651" spans="1:38" ht="12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</row>
    <row r="652" spans="1:38" ht="12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</row>
    <row r="653" spans="1:38" ht="12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</row>
    <row r="654" spans="1:38" ht="12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</row>
    <row r="655" spans="1:38" ht="12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</row>
    <row r="656" spans="1:38" ht="12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</row>
    <row r="657" spans="1:38" ht="12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</row>
    <row r="658" spans="1:38" ht="12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</row>
    <row r="659" spans="1:38" ht="12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</row>
    <row r="660" spans="1:38" ht="12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</row>
    <row r="661" spans="1:38" ht="12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</row>
    <row r="662" spans="1:38" ht="12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</row>
    <row r="663" spans="1:38" ht="12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</row>
    <row r="664" spans="1:38" ht="12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</row>
    <row r="665" spans="1:38" ht="12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</row>
    <row r="666" spans="1:38" ht="12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</row>
    <row r="667" spans="1:38" ht="12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</row>
    <row r="668" spans="1:38" ht="12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</row>
    <row r="669" spans="1:38" ht="12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</row>
    <row r="670" spans="1:38" ht="12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</row>
    <row r="671" spans="1:38" ht="12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</row>
    <row r="672" spans="1:38" ht="12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</row>
    <row r="673" spans="1:38" ht="12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</row>
    <row r="674" spans="1:38" ht="12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</row>
    <row r="675" spans="1:38" ht="12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</row>
    <row r="676" spans="1:38" ht="12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</row>
    <row r="677" spans="1:38" ht="12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</row>
    <row r="678" spans="1:38" ht="12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</row>
    <row r="679" spans="1:38" ht="12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</row>
    <row r="680" spans="1:38" ht="12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</row>
    <row r="681" spans="1:38" ht="12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</row>
    <row r="682" spans="1:38" ht="12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</row>
    <row r="683" spans="1:38" ht="12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</row>
    <row r="684" spans="1:38" ht="12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</row>
    <row r="685" spans="1:38" ht="12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</row>
    <row r="686" spans="1:38" ht="12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</row>
    <row r="687" spans="1:38" ht="12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</row>
    <row r="688" spans="1:38" ht="12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</row>
    <row r="689" spans="1:38" ht="12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</row>
    <row r="690" spans="1:38" ht="12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</row>
    <row r="691" spans="1:38" ht="12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</row>
    <row r="692" spans="1:38" ht="12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</row>
    <row r="693" spans="1:38" ht="12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</row>
    <row r="694" spans="1:38" ht="12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</row>
    <row r="695" spans="1:38" ht="12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</row>
    <row r="696" spans="1:38" ht="12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</row>
    <row r="697" spans="1:38" ht="12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</row>
    <row r="698" spans="1:38" ht="12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</row>
    <row r="699" spans="1:38" ht="12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</row>
    <row r="700" spans="1:38" ht="12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</row>
    <row r="701" spans="1:38" ht="12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</row>
    <row r="702" spans="1:38" ht="12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</row>
    <row r="703" spans="1:38" ht="12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</row>
    <row r="704" spans="1:38" ht="12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</row>
    <row r="705" spans="1:38" ht="12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</row>
    <row r="706" spans="1:38" ht="12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</row>
    <row r="707" spans="1:38" ht="12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</row>
    <row r="708" spans="1:38" ht="12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</row>
    <row r="709" spans="1:38" ht="12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</row>
    <row r="710" spans="1:38" ht="12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</row>
    <row r="711" spans="1:38" ht="12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</row>
    <row r="712" spans="1:38" ht="12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</row>
    <row r="713" spans="1:38" ht="12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</row>
    <row r="714" spans="1:38" ht="12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</row>
    <row r="715" spans="1:38" ht="12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</row>
    <row r="716" spans="1:38" ht="12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</row>
    <row r="717" spans="1:38" ht="12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</row>
    <row r="718" spans="1:38" ht="12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</row>
    <row r="719" spans="1:38" ht="12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</row>
    <row r="720" spans="1:38" ht="12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</row>
    <row r="721" spans="1:38" ht="12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</row>
    <row r="722" spans="1:38" ht="12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</row>
    <row r="723" spans="1:38" ht="12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</row>
    <row r="724" spans="1:38" ht="12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</row>
    <row r="725" spans="1:38" ht="12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</row>
    <row r="726" spans="1:38" ht="12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</row>
    <row r="727" spans="1:38" ht="12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</row>
    <row r="728" spans="1:38" ht="12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</row>
    <row r="729" spans="1:38" ht="12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</row>
    <row r="730" spans="1:38" ht="12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</row>
    <row r="731" spans="1:38" ht="12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</row>
    <row r="732" spans="1:38" ht="12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</row>
    <row r="733" spans="1:38" ht="12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</row>
    <row r="734" spans="1:38" ht="12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</row>
    <row r="735" spans="1:38" ht="12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</row>
    <row r="736" spans="1:38" ht="12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</row>
    <row r="737" spans="1:38" ht="12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</row>
    <row r="738" spans="1:38" ht="12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</row>
    <row r="739" spans="1:38" ht="12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</row>
    <row r="740" spans="1:38" ht="12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</row>
    <row r="741" spans="1:38" ht="12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</row>
    <row r="742" spans="1:38" ht="12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</row>
    <row r="743" spans="1:38" ht="12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</row>
    <row r="744" spans="1:38" ht="12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</row>
    <row r="745" spans="1:38" ht="12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</row>
    <row r="746" spans="1:38" ht="12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</row>
    <row r="747" spans="1:38" ht="12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</row>
    <row r="748" spans="1:38" ht="12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</row>
    <row r="749" spans="1:38" ht="12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</row>
    <row r="750" spans="1:38" ht="12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</row>
    <row r="751" spans="1:38" ht="12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</row>
    <row r="752" spans="1:38" ht="12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</row>
    <row r="753" spans="1:38" ht="12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</row>
    <row r="754" spans="1:38" ht="12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</row>
    <row r="755" spans="1:38" ht="12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</row>
    <row r="756" spans="1:38" ht="12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</row>
    <row r="757" spans="1:38" ht="12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</row>
    <row r="758" spans="1:38" ht="12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</row>
    <row r="759" spans="1:38" ht="12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</row>
    <row r="760" spans="1:38" ht="12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</row>
    <row r="761" spans="1:38" ht="12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</row>
    <row r="762" spans="1:38" ht="12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</row>
    <row r="763" spans="1:38" ht="12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</row>
    <row r="764" spans="1:38" ht="12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</row>
    <row r="765" spans="1:38" ht="12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</row>
    <row r="766" spans="1:38" ht="12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</row>
    <row r="767" spans="1:38" ht="12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</row>
    <row r="768" spans="1:38" ht="12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</row>
    <row r="769" spans="1:38" ht="12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</row>
    <row r="770" spans="1:38" ht="12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</row>
    <row r="771" spans="1:38" ht="12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</row>
    <row r="772" spans="1:38" ht="12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</row>
    <row r="773" spans="1:38" ht="12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</row>
    <row r="774" spans="1:38" ht="12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</row>
    <row r="775" spans="1:38" ht="12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</row>
    <row r="776" spans="1:38" ht="12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</row>
    <row r="777" spans="1:38" ht="12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</row>
    <row r="778" spans="1:38" ht="12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</row>
    <row r="779" spans="1:38" ht="12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</row>
    <row r="780" spans="1:38" ht="12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</row>
    <row r="781" spans="1:38" ht="12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</row>
    <row r="782" spans="1:38" ht="12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</row>
    <row r="783" spans="1:38" ht="12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</row>
    <row r="784" spans="1:38" ht="12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</row>
    <row r="785" spans="1:38" ht="12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</row>
    <row r="786" spans="1:38" ht="12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</row>
    <row r="787" spans="1:38" ht="12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</row>
    <row r="788" spans="1:38" ht="12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</row>
    <row r="789" spans="1:38" ht="12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</row>
    <row r="790" spans="1:38" ht="12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</row>
    <row r="791" spans="1:38" ht="12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</row>
    <row r="792" spans="1:38" ht="12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</row>
    <row r="793" spans="1:38" ht="12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</row>
    <row r="794" spans="1:38" ht="12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</row>
    <row r="795" spans="1:38" ht="12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</row>
    <row r="796" spans="1:38" ht="12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</row>
    <row r="797" spans="1:38" ht="12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</row>
    <row r="798" spans="1:38" ht="12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</row>
    <row r="799" spans="1:38" ht="12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</row>
    <row r="800" spans="1:38" ht="12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</row>
    <row r="801" spans="1:38" ht="12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</row>
    <row r="802" spans="1:38" ht="12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</row>
    <row r="803" spans="1:38" ht="12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</row>
    <row r="804" spans="1:38" ht="12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</row>
    <row r="805" spans="1:38" ht="12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</row>
    <row r="806" spans="1:38" ht="12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</row>
    <row r="807" spans="1:38" ht="12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</row>
    <row r="808" spans="1:38" ht="12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</row>
    <row r="809" spans="1:38" ht="12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</row>
    <row r="810" spans="1:38" ht="12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</row>
    <row r="811" spans="1:38" ht="12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</row>
    <row r="812" spans="1:38" ht="12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</row>
    <row r="813" spans="1:38" ht="12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</row>
    <row r="814" spans="1:38" ht="12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</row>
    <row r="815" spans="1:38" ht="12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</row>
    <row r="816" spans="1:38" ht="12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</row>
    <row r="817" spans="1:38" ht="12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</row>
    <row r="818" spans="1:38" ht="12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</row>
    <row r="819" spans="1:38" ht="12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</row>
    <row r="820" spans="1:38" ht="12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</row>
    <row r="821" spans="1:38" ht="12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</row>
    <row r="822" spans="1:38" ht="12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</row>
    <row r="823" spans="1:38" ht="12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</row>
    <row r="824" spans="1:38" ht="12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</row>
    <row r="825" spans="1:38" ht="12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</row>
    <row r="826" spans="1:38" ht="12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</row>
    <row r="827" spans="1:38" ht="12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</row>
    <row r="828" spans="1:38" ht="12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</row>
    <row r="829" spans="1:38" ht="12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</row>
    <row r="830" spans="1:38" ht="12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</row>
    <row r="831" spans="1:38" ht="12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</row>
    <row r="832" spans="1:38" ht="12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</row>
    <row r="833" spans="1:38" ht="12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</row>
    <row r="834" spans="1:38" ht="12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</row>
    <row r="835" spans="1:38" ht="12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</row>
    <row r="836" spans="1:38" ht="12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</row>
    <row r="837" spans="1:38" ht="12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</row>
    <row r="838" spans="1:38" ht="12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</row>
    <row r="839" spans="1:38" ht="12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</row>
    <row r="840" spans="1:38" ht="12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</row>
    <row r="841" spans="1:38" ht="12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</row>
    <row r="842" spans="1:38" ht="12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</row>
    <row r="843" spans="1:38" ht="12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</row>
    <row r="844" spans="1:38" ht="12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</row>
    <row r="845" spans="1:38" ht="12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</row>
    <row r="846" spans="1:38" ht="12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</row>
    <row r="847" spans="1:38" ht="12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</row>
    <row r="848" spans="1:38" ht="12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</row>
    <row r="849" spans="1:38" ht="12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</row>
    <row r="850" spans="1:38" ht="12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</row>
    <row r="851" spans="1:38" ht="12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</row>
    <row r="852" spans="1:38" ht="12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</row>
    <row r="853" spans="1:38" ht="12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</row>
    <row r="854" spans="1:38" ht="12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</row>
    <row r="855" spans="1:38" ht="12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</row>
    <row r="856" spans="1:38" ht="12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</row>
    <row r="857" spans="1:38" ht="12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</row>
    <row r="858" spans="1:38" ht="12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</row>
    <row r="859" spans="1:38" ht="12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</row>
    <row r="860" spans="1:38" ht="12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</row>
    <row r="861" spans="1:38" ht="12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</row>
    <row r="862" spans="1:38" ht="12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</row>
    <row r="863" spans="1:38" ht="12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</row>
    <row r="864" spans="1:38" ht="12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</row>
    <row r="865" spans="1:38" ht="12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</row>
    <row r="866" spans="1:38" ht="12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</row>
    <row r="867" spans="1:38" ht="12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</row>
    <row r="868" spans="1:38" ht="12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</row>
    <row r="869" spans="1:38" ht="12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</row>
    <row r="870" spans="1:38" ht="12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</row>
    <row r="871" spans="1:38" ht="12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</row>
    <row r="872" spans="1:38" ht="12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</row>
    <row r="873" spans="1:38" ht="12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</row>
    <row r="874" spans="1:38" ht="12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</row>
    <row r="875" spans="1:38" ht="12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</row>
    <row r="876" spans="1:38" ht="12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</row>
    <row r="877" spans="1:38" ht="12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</row>
    <row r="878" spans="1:38" ht="12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</row>
    <row r="879" spans="1:38" ht="12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</row>
    <row r="880" spans="1:38" ht="12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</row>
    <row r="881" spans="1:38" ht="12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</row>
    <row r="882" spans="1:38" ht="12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</row>
    <row r="883" spans="1:38" ht="12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</row>
    <row r="884" spans="1:38" ht="12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</row>
    <row r="885" spans="1:38" ht="12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</row>
    <row r="886" spans="1:38" ht="12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</row>
    <row r="887" spans="1:38" ht="12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</row>
    <row r="888" spans="1:38" ht="12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</row>
    <row r="889" spans="1:38" ht="12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</row>
    <row r="890" spans="1:38" ht="12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</row>
    <row r="891" spans="1:38" ht="12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</row>
    <row r="892" spans="1:38" ht="12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</row>
    <row r="893" spans="1:38" ht="12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</row>
    <row r="894" spans="1:38" ht="12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</row>
    <row r="895" spans="1:38" ht="12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</row>
    <row r="896" spans="1:38" ht="12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</row>
    <row r="897" spans="1:38" ht="12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</row>
    <row r="898" spans="1:38" ht="12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</row>
    <row r="899" spans="1:38" ht="12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</row>
    <row r="900" spans="1:38" ht="12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</row>
    <row r="901" spans="1:38" ht="12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</row>
    <row r="902" spans="1:38" ht="12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</row>
    <row r="903" spans="1:38" ht="12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</row>
    <row r="904" spans="1:38" ht="12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</row>
    <row r="905" spans="1:38" ht="12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</row>
    <row r="906" spans="1:38" ht="12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</row>
    <row r="907" spans="1:38" ht="12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</row>
    <row r="908" spans="1:38" ht="12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</row>
    <row r="909" spans="1:38" ht="12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</row>
    <row r="910" spans="1:38" ht="12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</row>
    <row r="911" spans="1:38" ht="12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</row>
    <row r="912" spans="1:38" ht="12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</row>
    <row r="913" spans="1:38" ht="12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</row>
    <row r="914" spans="1:38" ht="12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</row>
    <row r="915" spans="1:38" ht="12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</row>
    <row r="916" spans="1:38" ht="12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</row>
    <row r="917" spans="1:38" ht="12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</row>
    <row r="918" spans="1:38" ht="12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</row>
    <row r="919" spans="1:38" ht="12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</row>
    <row r="920" spans="1:38" ht="12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</row>
    <row r="921" spans="1:38" ht="12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</row>
    <row r="922" spans="1:38" ht="12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</row>
    <row r="923" spans="1:38" ht="12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</row>
    <row r="924" spans="1:38" ht="12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</row>
    <row r="925" spans="1:38" ht="12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</row>
    <row r="926" spans="1:38" ht="12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</row>
    <row r="927" spans="1:38" ht="12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</row>
    <row r="928" spans="1:38" ht="12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</row>
    <row r="929" spans="1:38" ht="12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</row>
    <row r="930" spans="1:38" ht="12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</row>
    <row r="931" spans="1:38" ht="12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</row>
    <row r="932" spans="1:38" ht="12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</row>
    <row r="933" spans="1:38" ht="12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</row>
    <row r="934" spans="1:38" ht="12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</row>
    <row r="935" spans="1:38" ht="12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</row>
    <row r="936" spans="1:38" ht="12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</row>
    <row r="937" spans="1:38" ht="12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</row>
    <row r="938" spans="1:38" ht="12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</row>
    <row r="939" spans="1:38" ht="12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</row>
    <row r="940" spans="1:38" ht="12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</row>
    <row r="941" spans="1:38" ht="12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</row>
    <row r="942" spans="1:38" ht="12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</row>
    <row r="943" spans="1:38" ht="12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</row>
    <row r="944" spans="1:38" ht="12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</row>
    <row r="945" spans="1:38" ht="12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</row>
    <row r="946" spans="1:38" ht="12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</row>
    <row r="947" spans="1:38" ht="12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</row>
    <row r="948" spans="1:38" ht="12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</row>
    <row r="949" spans="1:38" ht="12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</row>
    <row r="950" spans="1:38" ht="12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</row>
    <row r="951" spans="1:38" ht="12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</row>
    <row r="952" spans="1:38" ht="12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</row>
    <row r="953" spans="1:38" ht="12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</row>
    <row r="954" spans="1:38" ht="12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</row>
    <row r="955" spans="1:38" ht="12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</row>
    <row r="956" spans="1:38" ht="12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</row>
    <row r="957" spans="1:38" ht="12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</row>
    <row r="958" spans="1:38" ht="12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</row>
    <row r="959" spans="1:38" ht="12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</row>
    <row r="960" spans="1:38" ht="12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</row>
    <row r="961" spans="1:38" ht="12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</row>
    <row r="962" spans="1:38" ht="12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</row>
    <row r="963" spans="1:38" ht="12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</row>
    <row r="964" spans="1:38" ht="12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</row>
    <row r="965" spans="1:38" ht="12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</row>
    <row r="966" spans="1:38" ht="12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</row>
    <row r="967" spans="1:38" ht="12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</row>
    <row r="968" spans="1:38" ht="12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</row>
    <row r="969" spans="1:38" ht="12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</row>
    <row r="970" spans="1:38" ht="12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</row>
    <row r="971" spans="1:38" ht="12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</row>
    <row r="972" spans="1:38" ht="12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</row>
    <row r="973" spans="1:38" ht="12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</row>
    <row r="974" spans="1:38" ht="12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</row>
    <row r="975" spans="1:38" ht="12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</row>
    <row r="976" spans="1:38" ht="12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</row>
    <row r="977" spans="1:38" ht="12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</row>
    <row r="978" spans="1:38" ht="12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</row>
    <row r="979" spans="1:38" ht="12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</row>
    <row r="980" spans="1:38" ht="12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</row>
    <row r="981" spans="1:38" ht="12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</row>
    <row r="982" spans="1:38" ht="12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</row>
    <row r="983" spans="1:38" ht="12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</row>
    <row r="984" spans="1:38" ht="12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</row>
    <row r="985" spans="1:38" ht="12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</row>
    <row r="986" spans="1:38" ht="12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</row>
    <row r="987" spans="1:38" ht="12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</row>
    <row r="988" spans="1:38" ht="12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</row>
    <row r="989" spans="1:38" ht="12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</row>
    <row r="990" spans="1:38" ht="12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</row>
    <row r="991" spans="1:38" ht="12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</row>
    <row r="992" spans="1:38" ht="12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</row>
    <row r="993" spans="1:38" ht="12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</row>
    <row r="994" spans="1:38" ht="12.75" customHeight="1" x14ac:dyDescent="0.25">
      <c r="H994" s="1"/>
      <c r="I994" s="27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28"/>
      <c r="Z994" s="28"/>
      <c r="AC994" s="28"/>
    </row>
    <row r="995" spans="1:38" ht="12.75" customHeight="1" x14ac:dyDescent="0.25">
      <c r="H995" s="1"/>
      <c r="I995" s="27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28"/>
      <c r="Z995" s="28"/>
      <c r="AC995" s="28"/>
    </row>
    <row r="996" spans="1:38" ht="12.75" customHeight="1" x14ac:dyDescent="0.25">
      <c r="H996" s="1"/>
      <c r="I996" s="27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28"/>
      <c r="Z996" s="28"/>
      <c r="AC996" s="28"/>
    </row>
    <row r="997" spans="1:38" ht="12.75" customHeight="1" x14ac:dyDescent="0.25">
      <c r="H997" s="1"/>
      <c r="I997" s="27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28"/>
      <c r="Z997" s="28"/>
      <c r="AC997" s="28"/>
    </row>
    <row r="998" spans="1:38" ht="12.75" customHeight="1" x14ac:dyDescent="0.25">
      <c r="H998" s="1"/>
      <c r="I998" s="27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28"/>
      <c r="Z998" s="28"/>
      <c r="AC998" s="28"/>
    </row>
    <row r="999" spans="1:38" ht="12.75" customHeight="1" x14ac:dyDescent="0.25">
      <c r="H999" s="1"/>
      <c r="I999" s="27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28"/>
      <c r="Z999" s="28"/>
      <c r="AC999" s="28"/>
    </row>
    <row r="1000" spans="1:38" ht="12.75" customHeight="1" x14ac:dyDescent="0.25">
      <c r="H1000" s="1"/>
      <c r="I1000" s="27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28"/>
      <c r="Z1000" s="28"/>
      <c r="AC1000" s="28"/>
    </row>
  </sheetData>
  <mergeCells count="123">
    <mergeCell ref="B7:B9"/>
    <mergeCell ref="C7:AB7"/>
    <mergeCell ref="C8:H8"/>
    <mergeCell ref="Z8:AB8"/>
    <mergeCell ref="AA32:AA38"/>
    <mergeCell ref="AB32:AB38"/>
    <mergeCell ref="T32:T38"/>
    <mergeCell ref="U32:U38"/>
    <mergeCell ref="V32:V38"/>
    <mergeCell ref="W32:W38"/>
    <mergeCell ref="X32:X38"/>
    <mergeCell ref="Y32:Y38"/>
    <mergeCell ref="Z32:Z38"/>
    <mergeCell ref="AA16:AA22"/>
    <mergeCell ref="AB16:AB22"/>
    <mergeCell ref="T16:T22"/>
    <mergeCell ref="U16:U22"/>
    <mergeCell ref="V16:V22"/>
    <mergeCell ref="W16:W22"/>
    <mergeCell ref="X16:X22"/>
    <mergeCell ref="Y16:Y22"/>
    <mergeCell ref="Z16:Z22"/>
    <mergeCell ref="J16:J22"/>
    <mergeCell ref="K16:K22"/>
    <mergeCell ref="L16:L20"/>
    <mergeCell ref="I8:R8"/>
    <mergeCell ref="L9:R9"/>
    <mergeCell ref="L15:R15"/>
    <mergeCell ref="S8:V8"/>
    <mergeCell ref="W8:Y8"/>
    <mergeCell ref="D2:E2"/>
    <mergeCell ref="D3:E3"/>
    <mergeCell ref="D4:E4"/>
    <mergeCell ref="S15:T15"/>
    <mergeCell ref="B16:B22"/>
    <mergeCell ref="C16:C22"/>
    <mergeCell ref="D16:D22"/>
    <mergeCell ref="N22:R22"/>
    <mergeCell ref="AA24:AA30"/>
    <mergeCell ref="AB24:AB30"/>
    <mergeCell ref="T24:T30"/>
    <mergeCell ref="U24:U30"/>
    <mergeCell ref="V24:V30"/>
    <mergeCell ref="W24:W30"/>
    <mergeCell ref="X24:X30"/>
    <mergeCell ref="Y24:Y30"/>
    <mergeCell ref="Z24:Z30"/>
    <mergeCell ref="N30:R30"/>
    <mergeCell ref="F24:F30"/>
    <mergeCell ref="G24:G30"/>
    <mergeCell ref="H24:H30"/>
    <mergeCell ref="I24:I30"/>
    <mergeCell ref="J24:J30"/>
    <mergeCell ref="K24:K30"/>
    <mergeCell ref="L24:L28"/>
    <mergeCell ref="E16:E17"/>
    <mergeCell ref="F16:F22"/>
    <mergeCell ref="B48:B54"/>
    <mergeCell ref="C48:C54"/>
    <mergeCell ref="D48:D54"/>
    <mergeCell ref="E48:E49"/>
    <mergeCell ref="F48:F54"/>
    <mergeCell ref="G48:G54"/>
    <mergeCell ref="H48:H54"/>
    <mergeCell ref="E52:E54"/>
    <mergeCell ref="W48:W54"/>
    <mergeCell ref="X48:X54"/>
    <mergeCell ref="Y48:Y54"/>
    <mergeCell ref="Z48:Z54"/>
    <mergeCell ref="AA48:AA54"/>
    <mergeCell ref="AB48:AB54"/>
    <mergeCell ref="I48:I54"/>
    <mergeCell ref="J48:J54"/>
    <mergeCell ref="K48:K54"/>
    <mergeCell ref="L48:L52"/>
    <mergeCell ref="T48:T54"/>
    <mergeCell ref="U48:U54"/>
    <mergeCell ref="V48:V54"/>
    <mergeCell ref="N54:R54"/>
    <mergeCell ref="E20:E22"/>
    <mergeCell ref="C24:C30"/>
    <mergeCell ref="D24:D30"/>
    <mergeCell ref="E24:E25"/>
    <mergeCell ref="E28:E30"/>
    <mergeCell ref="F32:F38"/>
    <mergeCell ref="G32:G38"/>
    <mergeCell ref="H32:H38"/>
    <mergeCell ref="I32:I38"/>
    <mergeCell ref="G16:G22"/>
    <mergeCell ref="H16:H22"/>
    <mergeCell ref="I16:I22"/>
    <mergeCell ref="Z40:Z46"/>
    <mergeCell ref="AA40:AA46"/>
    <mergeCell ref="AB40:AB46"/>
    <mergeCell ref="J40:J46"/>
    <mergeCell ref="K40:K46"/>
    <mergeCell ref="L40:L44"/>
    <mergeCell ref="T40:T46"/>
    <mergeCell ref="U40:U46"/>
    <mergeCell ref="V40:V46"/>
    <mergeCell ref="W40:W46"/>
    <mergeCell ref="N46:R46"/>
    <mergeCell ref="B24:B30"/>
    <mergeCell ref="B32:B38"/>
    <mergeCell ref="C32:C38"/>
    <mergeCell ref="D32:D38"/>
    <mergeCell ref="B40:B46"/>
    <mergeCell ref="C40:C46"/>
    <mergeCell ref="D40:D46"/>
    <mergeCell ref="X40:X46"/>
    <mergeCell ref="Y40:Y46"/>
    <mergeCell ref="J32:J38"/>
    <mergeCell ref="K32:K38"/>
    <mergeCell ref="L32:L36"/>
    <mergeCell ref="N38:R38"/>
    <mergeCell ref="E32:E33"/>
    <mergeCell ref="E36:E38"/>
    <mergeCell ref="E40:E41"/>
    <mergeCell ref="F40:F46"/>
    <mergeCell ref="G40:G46"/>
    <mergeCell ref="H40:H46"/>
    <mergeCell ref="I40:I46"/>
    <mergeCell ref="E44:E46"/>
  </mergeCells>
  <dataValidations count="10">
    <dataValidation type="list" allowBlank="1" showInputMessage="1" showErrorMessage="1" prompt="Probability - Assessment of the likelihood of occurence_x000a__x000a_Valid entries are Very Low, Low, Moderate, High and Very High_x000a__x000a__x000a_" sqref="J16 J24 J32 J40 J48">
      <formula1>$J$10:$J$14</formula1>
    </dataValidation>
    <dataValidation type="list" allowBlank="1" showInputMessage="1" showErrorMessage="1" prompt="Impact - The severity of the risk's effect on the project objectives" sqref="K23:M23 K31:M31 K39:M39 K47:M47 K55:M55">
      <formula1>$K$10:$K$13</formula1>
    </dataValidation>
    <dataValidation type="list" allowBlank="1" showInputMessage="1" showErrorMessage="1" prompt="Project Phase - Phase of the project when the risk was first identified.  Valid entries are PID, PA&amp;ED, PS&amp;E or Construction" sqref="E20 E28 E36 E44 E52">
      <formula1>$E$10:$E$13</formula1>
    </dataValidation>
    <dataValidation type="decimal" allowBlank="1" showInputMessage="1" showErrorMessage="1" prompt="Priority - Priority number assigned by the project development team to the risk.  _x000a__x000a_Valid entries are 0 to 100" sqref="B16 B24 B32 B40 B48">
      <formula1>0</formula1>
      <formula2>100</formula2>
    </dataValidation>
    <dataValidation type="list" allowBlank="1" showInputMessage="1" showErrorMessage="1" prompt="Affected WBS Tasks - Which WBS task will be modified as a part of the response strategy." sqref="Y16 Y24 Y32 Y40 Y48">
      <formula1>$AF$6:$AF$18</formula1>
    </dataValidation>
    <dataValidation type="list" allowBlank="1" showInputMessage="1" showErrorMessage="1" prompt="Strategy - The strategy that is most likely to be effective for each risk._x000a__x000a_Valid entries are Acceptance, Mitigation, Transference or Avoidance." sqref="W16 W24 W32 W40 W48">
      <formula1>$W$10:$W$14</formula1>
    </dataValidation>
    <dataValidation type="list" allowBlank="1" showInputMessage="1" showErrorMessage="1" prompt="Probability - Assessment of the liklihood of occurence" sqref="J23 J31 J39 J47 J55">
      <formula1>$J$10:$J$13</formula1>
    </dataValidation>
    <dataValidation type="list" allowBlank="1" showInputMessage="1" showErrorMessage="1" prompt="Type - Major impact area for the risk._x000a__x000a_Valid entries are Cost, Scope, Schedule or Quality" sqref="I16 I24 I32 I40 I48">
      <formula1>$I$10:$I$14</formula1>
    </dataValidation>
    <dataValidation type="list" allowBlank="1" showInputMessage="1" showErrorMessage="1" promptTitle="Risk Status" prompt="This is the current status of the risk element_x000a__x000a_Active = Risk is being actively monitored and controlled_x000a__x000a_Dormant = Risk is not currently a high priority, but may become active in the future_x000a__x000a_Retired = Risk is no longer a threat to project objectives_x000a_" sqref="C16 C24 C32 C40 C48">
      <formula1>$C$10:$C$12</formula1>
    </dataValidation>
    <dataValidation type="list" allowBlank="1" showInputMessage="1" showErrorMessage="1" prompt="Impact - The severity of the risk's effect on the project objectives._x000a__x000a_Valid entries are very low, low, moderate, high and very high." sqref="K16 K24 K32 K40 K48">
      <formula1>$K$10:$K$14</formula1>
    </dataValidation>
  </dataValidations>
  <pageMargins left="0.7" right="0.7" top="0.75" bottom="0.75" header="0" footer="0"/>
  <pageSetup orientation="landscape"/>
  <headerFooter>
    <oddHeader>&amp;RPROJECT RISK MANAGEMENT PLAN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 Management Plan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rguevel</dc:creator>
  <cp:lastModifiedBy>Durla Cosmin</cp:lastModifiedBy>
  <dcterms:created xsi:type="dcterms:W3CDTF">2003-02-07T18:06:58Z</dcterms:created>
  <dcterms:modified xsi:type="dcterms:W3CDTF">2023-11-22T11:54:12Z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Mohora, Anca, Vodafone Romania</vt:lpwstr>
  </property>
  <property fmtid="{D5CDD505-2E9C-101B-9397-08002B2CF9AE}" pid="4" name="DocInfoData1">
    <vt:lpwstr>KABMAGEAbgBnAHUAYQBnAGUAPQBlAG4AdQB8AEwAZQB2AGUAbAA9ADAAfABEAGEAdABlAD0AMgAwADEANQAxADAAMgA0AHwATwB3AG4AZQByAD0ATQBvAGgAbwByAGEALAAgAEEAbgBjAGEALAAgAFYAbwBkAGEAZgBvAG4AZQAgAFIAbwBtAGEAbgBpAGEAfABIAGEA</vt:lpwstr>
  </property>
  <property fmtid="{D5CDD505-2E9C-101B-9397-08002B2CF9AE}" pid="5" name="DocInfoData2">
    <vt:lpwstr>cwBSAGUAYwBsAGEAcwBzAGkAZgA9AEYAYQBsAHMAZQB8AE4AZQB3AEwAZQB2AGUAbAA9ADEAfABOAGUAdwBFAHYAZQBuAHQAPQB8AFAAbwBzAGkAdABpAG8AbgA9ADEAMwB8AE0AYQByAGcAaQBuAD0ANwAwAHwAUAByAGkAbgB0AFAAbwBzAGkAdABpAG8AbgA9ADEA</vt:lpwstr>
  </property>
  <property fmtid="{D5CDD505-2E9C-101B-9397-08002B2CF9AE}" pid="6" name="DocInfoData3">
    <vt:lpwstr>MQB8AFAAcgBpAG4AdABGAGwAYQBnAHMAPQBOAFkAWQB8AFUAcwBlAFIAZQBjAGkAcABpAGUAbgB0AHMAPQBGAGEAbABzAGUAfABVAHMAZQBXAGEAdABlAHIATQBhAHIAawA9AEYAYQBsAHMAZQB8AFcAYQB0AGUAcgBUAHkAcABlAD0AMQB8AFcAYQB0AGUAcgBUAGUA</vt:lpwstr>
  </property>
  <property fmtid="{D5CDD505-2E9C-101B-9397-08002B2CF9AE}" pid="7" name="DocInfoData4">
    <vt:lpwstr>eAB0AD0AfABSAGUAYwBpAHAAaQBlAG4AdABzAD0AfABSAGUAYwBpAHAAaQBlAG4AdABzAEMAbwBkAGUAPQAwADAAMAAwADAAMAAwADAAfABDAHUAcwB0AG8AbQA9ACkA</vt:lpwstr>
  </property>
  <property fmtid="{D5CDD505-2E9C-101B-9397-08002B2CF9AE}" pid="8" name="DocInfoVersion">
    <vt:lpwstr>3.01.332</vt:lpwstr>
  </property>
  <property fmtid="{D5CDD505-2E9C-101B-9397-08002B2CF9AE}" pid="9" name="WorkbookGuid">
    <vt:lpwstr>a8034259-dede-40f1-bc40-78f50e09656b</vt:lpwstr>
  </property>
</Properties>
</file>